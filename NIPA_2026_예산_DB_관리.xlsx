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9000" firstSheet="0" activeTab="0"/>
  </bookViews>
  <sheets>
    <sheet sheetId="1" name="대시보드" state="visible" r:id="rId4"/>
    <sheet sheetId="2" name="사업 DB" state="visible" r:id="rId5"/>
    <sheet sheetId="3" name="레이어 현황" state="visible" r:id="rId6"/>
    <sheet sheetId="4" name="본부별 현황" state="visible" r:id="rId7"/>
    <sheet sheetId="5" name="신규입력 안내" state="visible" r:id="rId8"/>
  </sheets>
  <calcPr calcId="171027" fullCalcOnLoad="1"/>
</workbook>
</file>

<file path=xl/sharedStrings.xml><?xml version="1.0" encoding="utf-8"?>
<sst xmlns="http://schemas.openxmlformats.org/spreadsheetml/2006/main" count="1774" uniqueCount="529">
  <si>
    <t>정보통신산업진흥원 2026 예산 DB 현황판</t>
  </si>
  <si>
    <t>오프라인 Excel 버전 · 사업 DB를 수정하면 요약 수식이 자동 갱신됩니다.</t>
  </si>
  <si>
    <t>대시보드</t>
  </si>
  <si>
    <t>사업 DB</t>
  </si>
  <si>
    <t>신규입력 안내</t>
  </si>
  <si>
    <t>레이어 현황</t>
  </si>
  <si>
    <t>본부별 현황</t>
  </si>
  <si>
    <t>핵심 지표</t>
  </si>
  <si>
    <t>사업 행 수</t>
  </si>
  <si>
    <t>총예산(백만원)</t>
  </si>
  <si>
    <t>레이어 수</t>
  </si>
  <si>
    <t>레이어별 예산</t>
  </si>
  <si>
    <t>레이어</t>
  </si>
  <si>
    <t>사업 수</t>
  </si>
  <si>
    <t>예산(백만원)</t>
  </si>
  <si>
    <t>AI인프라</t>
  </si>
  <si>
    <t>AI반도체</t>
  </si>
  <si>
    <t>AI모델</t>
  </si>
  <si>
    <t>지역AX</t>
  </si>
  <si>
    <t>피지컬AI</t>
  </si>
  <si>
    <t>글로벌 이니셔티브</t>
  </si>
  <si>
    <t>AI생태계</t>
  </si>
  <si>
    <t>산업전략</t>
  </si>
  <si>
    <t>기관운영비</t>
  </si>
  <si>
    <t>NIPA 2026 예산 사업 DB</t>
  </si>
  <si>
    <t>기존 행은 직접 수정하고, 표 하단의 빈 행에는 신규 사업을 입력하세요. 필터와 정렬은 표 머리글에서 사용할 수 있습니다.</t>
  </si>
  <si>
    <t>관리상태</t>
  </si>
  <si>
    <t>사업명</t>
  </si>
  <si>
    <t>세부사업명</t>
  </si>
  <si>
    <t>사업코드</t>
  </si>
  <si>
    <t>회계</t>
  </si>
  <si>
    <t>과기정통부 소관</t>
  </si>
  <si>
    <t>NIPA 본부</t>
  </si>
  <si>
    <t>2026년 예산(백만원)</t>
  </si>
  <si>
    <t>개요</t>
  </si>
  <si>
    <t>주요내용</t>
  </si>
  <si>
    <t>추진방향</t>
  </si>
  <si>
    <t>기존</t>
  </si>
  <si>
    <t>GPU 서버확충</t>
  </si>
  <si>
    <t>(319) AI컴퓨팅자원활용기반강화 (2602-357)</t>
  </si>
  <si>
    <t>2602-357</t>
  </si>
  <si>
    <t>일반회계</t>
  </si>
  <si>
    <t>제2차관 / 인공지능정책실 / 인공지능인프라정책관 / 인공지능기술기반정책과</t>
  </si>
  <si>
    <t>AI인프라본부</t>
  </si>
  <si>
    <t>GPU 서버 확충에 따른 대규모 클러스터링 지원 등 통합운영환경 구축 지원</t>
  </si>
  <si>
    <t xml:space="preserve">GPU 서버 확충에 따른 대규모 클러스터링 지원 등 통합운영환경 구축 지원
국내 AI 생태계 지원을 위한 GPU 서버 확충 지원</t>
  </si>
  <si>
    <t>GPU 서버확충은 도입 물량보다 실제 가동률과 이용 대기시간을 공개하고, 중소 AI기업이 안정적으로 자원을 배정받는 운영체계를 갖추는 데 초점을 둘 필요가 있습니다. 서버 확충분이 모델 개발·서비스 출시로 이어진 비율을 핵심 성과로 관리하는 방향이 적절합니다.</t>
  </si>
  <si>
    <t>GPU 통합환경구축</t>
  </si>
  <si>
    <t>GPU 통합환경구축은 대규모 GPU를 하나의 자원 풀로 묶는 스케줄링·장애대응·사용량 정산 체계를 우선 완성해야 합니다. 클러스터 가동률과 작업 처리시간, 장애 복구시간을 기준으로 운영 품질을 검증하는 것이 중요합니다.</t>
  </si>
  <si>
    <t>(326) AI반도체 실증지원 (2603-311)</t>
  </si>
  <si>
    <t>2603-311</t>
  </si>
  <si>
    <t>제2차관 / 정보통신정책실 / 정보통신산업정책관 / 정보통신방송기술정책과</t>
  </si>
  <si>
    <t>AI반도체본부</t>
  </si>
  <si>
    <t>기존 소규모·기술검증 중심의 실증 지원을 넘어, 국산 AI반도체의 시장 경쟁력 강화 및 조기 상용화를 뒷받침하는 대규모 실증 및 수요창출 중점 지원</t>
  </si>
  <si>
    <t xml:space="preserve">기존 소규모·기술검증 중심의 실증 지원을 넘어, 국산 AI반도체의 시장 경쟁력 강화 및 조기 상용화를 뒷받침하는 대규모 실증 및 수요창출 중점 지원
AI데이터센터·온디바이스 AI 등 주요 수요 분야와 연계한 실증 및 사업화 지원을 통한 국산 AI반도체 조기상용화 지원
국산 AI반도체(서버용·엣지용)에 다양한 AI서비스를 적용하여, 비공개 기능·성능 테스트 및 AI반도체 실증을 통한 레퍼런스 확보 지원</t>
  </si>
  <si>
    <t>(326) AI반도체 실증지원 (2603-311)은 칩 공급과 실증을 분리하지 말고 실제 서비스 워크로드에서 성능·전력효율·호환성을 검증하는 구조로 운영하는 것이 좋습니다. 검증 결과가 구매계약과 반복 도입, 국산 소프트웨어 생태계 확대로 연결되는지를 성과 기준으로 삼아야 합니다.</t>
  </si>
  <si>
    <t>(49) 협업지능 피지컬AI 기반 SW플랫폼 연구개발 생태계 조성(R&amp;D)</t>
  </si>
  <si>
    <t/>
  </si>
  <si>
    <t>특별회계</t>
  </si>
  <si>
    <t>제2차관 / 정보통신정책실 / 정보통신산업정책관 / 정보통신산업정책과</t>
  </si>
  <si>
    <t>지역AX본부</t>
  </si>
  <si>
    <t>국내 강점 산업에 특화된 협업지능 피지컬AI 기반 SW플랫폼(AI모델, 시뮬레이션, 제어, 표준화 등) 개발로 글로벌 기술표준 선점 및 AI메타팩토리* 기반기술 확보</t>
  </si>
  <si>
    <t xml:space="preserve">국내 강점 산업에 특화된 협업지능 피지컬AI 기반 SW플랫폼(AI모델, 시뮬레이션, 제어, 표준화 등) 개발로 글로벌 기술표준 선점 및 AI메타팩토리* 기반기술 확보
협업지능 피지컬AI 기반 SW플랫폼 연구개발 생태계 조성(R&amp;D)</t>
  </si>
  <si>
    <t>(49) 협업지능 피지컬AI 기반 SW플랫폼 연구개발 생태계 조성(R&amp;D): 모델·시뮬레이션 개발을 실제 장비 제어와 현장 검증까지 연결하는 통합 실증 체계가 필요합니다. 성능 수치뿐 아니라 안전성, 반복 운용 안정성, 수요기업의 도입 가능성을 함께 확인해 사업화로 이어지는 기반을 마련해야 합니다.</t>
  </si>
  <si>
    <t>(46) 인간-AI 협업형 LAM 개발·글로벌 실증(R&amp;D) (4231-301)</t>
  </si>
  <si>
    <t>4231-301</t>
  </si>
  <si>
    <t>피지컬AI 특화 고신뢰성 융합데이터 및 LAM(PINN 기반 물리지능행동모델) 핵심기술 확보로 우리나라 피지컬AI 기술 주도권 확보 및 AX 역량 강화</t>
  </si>
  <si>
    <t xml:space="preserve">피지컬AI 특화 고신뢰성 융합데이터 및 LAM(PINN 기반 물리지능행동모델) 핵심기술 확보로 우리나라 피지컬AI 기술 주도권 확보 및 AX 역량 강화
국내외 피지컬AI 특화 산학연 협력을 기반으로 정밀 제어가 필요한 분야에 활용할 수 있는 피지컬AI 특화 LAM 핵심기술 개발 및 글로벌 실증</t>
  </si>
  <si>
    <t>(46) 인간-AI 협업형 LAM 개발·글로벌 실증(R&amp;D) (4231-301): 모델·시뮬레이션 개발을 실제 장비 제어와 현장 검증까지 연결하는 통합 실증 체계가 필요합니다. 성능 수치뿐 아니라 안전성, 반복 운용 안정성, 수요기업의 도입 가능성을 함께 확인해 사업화로 이어지는 기반을 마련해야 합니다.</t>
  </si>
  <si>
    <t>공공AX 프로젝트</t>
  </si>
  <si>
    <t>(321) 공공AX 프로젝트 (2602-364)</t>
  </si>
  <si>
    <t>2602-364</t>
  </si>
  <si>
    <t>제2차관 / 정보통신정책실 / 정보통신정책관 / 디지털사회기획과</t>
  </si>
  <si>
    <t>AI활용본부</t>
  </si>
  <si>
    <t>공공부문에 AI를 선도적으로 접목함으로써 공공서비스를 혁신하고, 공공분야의 AI 대전환(AX) 가속화 및 AI 산업 육성 촉진</t>
  </si>
  <si>
    <t>공공AX 프로젝트은 단발성 AI 구축보다 공공업무 개선 목표와 책임 있는 운영 주체를 먼저 확정해야 합니다. 업무시간 단축, 서비스 품질, 이용자 편익과 다른 기관의 재사용 가능성을 기준으로 확산 여부를 판단하는 것이 바람직합니다.</t>
  </si>
  <si>
    <t>(26) 지역디지털인재양성 (2232-303)</t>
  </si>
  <si>
    <t>2232-303</t>
  </si>
  <si>
    <t>제2차관 / 정보통신정책실 / 소프트웨어정책관 / 소프트웨어기반조성팀</t>
  </si>
  <si>
    <t>정책기획단</t>
  </si>
  <si>
    <t>전국 5개 권역*의 ICT이노베이션스퀘어를 통해, AI·Data‧IoT 등 디지털 신기술 분야 교육·개발·테스트·사업화 지원을 통한 실무형 SW·AI 전문인재 양성</t>
  </si>
  <si>
    <t xml:space="preserve">전국 5개 권역*의 ICT이노베이션스퀘어를 통해, AI·Data‧IoT 등 디지털 신기술 분야 교육·개발·테스트·사업화 지원을 통한 실무형 SW·AI 전문인재 양성
지역 내 초‧중등 SW‧AI 교육부터 대학, 취‧창업자 대상 산업 실무인재 양성 교육 등을 제공하여 지역 교육‧산업 격차 해소 및 균형발전 도모
AI‧SW교육 인프라 부족지역에 미래채움센터 구축‧운영, 전문강사 양성을 통해 지역 초‧중등학생 대상 AI‧SW교육 확대 및 격차 해소</t>
  </si>
  <si>
    <t>(26) 지역디지털인재양성 (2232-303):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</si>
  <si>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(174) 융합서비스 글로벌시장 진출지원 (2137-310)</t>
  </si>
  <si>
    <t>2137-310</t>
  </si>
  <si>
    <t>제2차관 / 정보통신정책실 / 정보통신산업정책관 / 정보통신산업기반과</t>
  </si>
  <si>
    <t>기업 간 연대·동반 해외진출을 위한 융합제품·서비스의 현지화 실증 지원, 글로벌 홍보와 해외시장 개척을 위한 지원 플랫폼 운영, 통상 정책 대응 지원을 통한 기업의 수출 여건 개선 추진</t>
  </si>
  <si>
    <t xml:space="preserve">기업 간 연대·동반 해외진출을 위한 융합제품·서비스의 현지화 실증 지원, 글로벌 홍보와 해외시장 개척을 위한 지원 플랫폼 운영, 통상 정책 대응 지원을 통한 기업의 수출 여건 개선 추진
AI 분야 등 미래 디지털기술 기반의 우수 융합 제품 서비스 현지화 및 확산 지원을 위한 국내외 기업 간 조인트벤처(Joint Venture, JV) 파트너십 형성과 JV 추진·운영 지원
유망 디지털 혁신기업의 해외시장 맞춤형 제품·서비스 개발·고도화 및 레퍼런스 확보를 위한 바우처 지원</t>
  </si>
  <si>
    <t>(174) 융합서비스 글로벌시장 진출지원 (2137-310)은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</si>
  <si>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(153) 정보통신산업진흥원지원 (2037-301)</t>
  </si>
  <si>
    <t>2037-301</t>
  </si>
  <si>
    <t>제2차관 / 정보통신정책실 / 정보통신정책관 / 정보통신정책총괄과</t>
  </si>
  <si>
    <t>경영기획본부</t>
  </si>
  <si>
    <t>국가의 ICT·SW산업 육성과 활성화, 융합분야 신산업 육성과 신시장 창출을 위해 설립된 정보통신산업진흥원 운영지원</t>
  </si>
  <si>
    <t xml:space="preserve">국가의 ICT·SW산업 육성과 활성화, 융합분야 신산업 육성과 신시장 창출을 위해 설립된 정보통신산업진흥원 운영지원
정보통신산업진흥원 정규직 직원 인건비
정보통신산업진흥원 기관운영비 경비(청사관리비, 공공요금 및 제세, 계약직원 인건비, 시설장비유지비, 복리후생비, 자산취득비 등)</t>
  </si>
  <si>
    <t>(153) 정보통신산업진흥원지원 (2037-301)은 인력·경상비와 고유사업비를 구분하고, 조직 역량이 주요 사업의 기획·관리 품질 향상에 어떻게 기여하는지 보여줄 필요가 있습니다. 본부별 사업성과와 운영자원을 연결한 설명 체계를 갖추는 것이 적절합니다.</t>
  </si>
  <si>
    <t>(316) AI일상화 확산 (2602-338)</t>
  </si>
  <si>
    <t>2602-338</t>
  </si>
  <si>
    <t>제2차관 / 인공지능정책실 / 인공지능정책기획관 / 인공지능융합팀</t>
  </si>
  <si>
    <t>초거대 AI 기반의 경쟁력 있는 응용서비스 개발·실증 지원을 통해 전문분야 종사자의 업무 보조 및 효율화를 도모하고 국민 일상 속 AI 활용·확산</t>
  </si>
  <si>
    <t xml:space="preserve">초거대 AI 기반의 경쟁력 있는 응용서비스 개발·실증 지원을 통해 전문분야 종사자의 업무 보조 및 효율화를 도모하고 국민 일상 속 AI 활용·확산
소아·청소년과 의료진 지원, 보호자 상담 지원 등을 초거대 AI 플랫폼을 활용해 지원하는 서비스 개발·실증
심리상담 전문인력을 지원하기 위한 AI기반 상담일지 생성･요약･분석 지원 등의 초거대AI 기반 심리케어 전문가 보조 서비스 개발ㆍ실증</t>
  </si>
  <si>
    <t>(316) AI일상화 확산 (2602-338)은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</si>
  <si>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(3) VR·AR콘텐츠산업육성 (1411-305)</t>
  </si>
  <si>
    <t>1411-305</t>
  </si>
  <si>
    <t>기금</t>
  </si>
  <si>
    <t>제2차관 / 정보통신정책실 / 소프트웨어정책관 / 디지털콘텐츠과</t>
  </si>
  <si>
    <t>SW융합본부</t>
  </si>
  <si>
    <t>수도권 뿐만 아니라 지역의 가상융합 산업 성장을 지원하기 위한 콘텐츠 제작·실증 지원시설 구축·운영, 인력양성, 기업지원, 저변확산 등</t>
  </si>
  <si>
    <t>(3) VR·AR콘텐츠산업육성 (1411-305):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</si>
  <si>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(181) AI 응용제품 신속 상용화 지원사업(보안‧네트워크‧생활 등) (2137-381)</t>
  </si>
  <si>
    <t>2137-381</t>
  </si>
  <si>
    <t>제2차관 / 정보통신정책실 / 정보통신산업정책관 / 디바이스AX혁신팀</t>
  </si>
  <si>
    <t>가정, 직장, 학교 등 국민의 다양한일상에서 직·간접적으로 접할 수 있는 네트워크 디바이스 및 서비스의 AI 전면 확산을위해 국민이 체감할 수 있는 품질향상 등 네트워크·통신 분야 제품‧서비스 개발‧실증 지원</t>
  </si>
  <si>
    <t xml:space="preserve">가정, 직장, 학교 등 국민의 다양한일상에서 직·간접적으로 접할 수 있는 네트워크 디바이스 및 서비스의 AI 전면 확산을위해 국민이 체감할 수 있는 품질향상 등 네트워크·통신 분야 제품‧서비스 개발‧실증 지원
생활, 안전 등 일상의 AX 전환을 위해 AI 모델 개발기업, 엔드프로덕트 제조기업 등을 대상으로 AX 제품‧서비스 개발‧실증 지원
지속 확산하는 국민 생활 밀접 분야의 보안 위협에 대응하기 위한 차세대 AI 기반 보안 제품·플랫폼 개발 및 실증</t>
  </si>
  <si>
    <t>(181) AI 응용제품 신속 상용화 지원사업(보안‧네트워크‧생활 등) (2137-381)은 기획·실증·사업화가 단절되지 않도록 수요산업과 구매 주체를 초기 단계부터 참여시키는 것이 중요합니다. 사업별 기술성숙도와 시장성을 기준으로 계속·조정 여부를 판단해야 합니다.</t>
  </si>
  <si>
    <t>(38) AX실증밸리조성(R&amp;D)(2601-413)</t>
  </si>
  <si>
    <t>2601-413</t>
  </si>
  <si>
    <t>제2차관 / 인공지능정책실 / 인공지능정책기획관 / 디지털인재양성과</t>
  </si>
  <si>
    <t>대규모 AI 연구개발 및 실증에 필수적으로 요구되는 고성능 AI 컴퓨팅 자원 및 AI 연구개발과 연계한 실증 및 상용화까지의 모든 과정을 지원하는 AX 혁신 인프라 구축</t>
  </si>
  <si>
    <t xml:space="preserve">대규모 AI 연구개발 및 실증에 필수적으로 요구되는 고성능 AI 컴퓨팅 자원 및 AI 연구개발과 연계한 실증 및 상용화까지의 모든 과정을 지원하는 AX 혁신 인프라 구축
AI 적용의 혜택이 특정 그룹에 제한되지 않고, 누구나 AI를 활용하여 삶의 질을 향상시키고 혁신을 도모할 수 있는 ‘모두의 AI’ 구현(10개 과제)
물리 세계와 주어진 상황에 스스로 적응하고진화하는 Physical AI 기반의 초지능 자율주행 모빌리티 (2개 과제)</t>
  </si>
  <si>
    <t>(38) AX실증밸리조성(R&amp;D)(2601-413)은 모델·시뮬레이션 개발과 실제 장비 제어, 안전 검증, 현장 운영을 하나의 실증 체계로 묶어야 합니다. 테스트베드 성능이 수요기업의 구매와 생산공정 적용으로 이어지는지를 명확히 확인하는 방향이 좋습니다.</t>
  </si>
  <si>
    <t>부처협업 기반 AI확산</t>
  </si>
  <si>
    <t>(40) AI산업육성 (2602-301)</t>
  </si>
  <si>
    <t>2602-301</t>
  </si>
  <si>
    <t>부처 간 협업을 통해 AI 솔루션·서비스 등을 개발·실증하여 공공부문 AI 도입·확산을 유도하고 AI 기업 경쟁력 강화</t>
  </si>
  <si>
    <t>부처협업 기반 AI확산은 모델 규모보다 분야별 정확도와 안전성, 경량화, 실제 서비스 적용성을 균형 있게 검증해야 합니다. 개발 결과가 재사용 가능한 모델·데이터 자산으로 축적되도록 관리하는 방향이 좋습니다.</t>
  </si>
  <si>
    <t>국가 AI데이터센터 고도화</t>
  </si>
  <si>
    <t>(40) 국가 AI데이터센터 고도화 (2601-415)</t>
  </si>
  <si>
    <t>2601-415</t>
  </si>
  <si>
    <t>국가 AI 데이터센터 인프라를 기반으로 고성능 GPU 자원 제공 등 AI 기업·기관 대상 GPU 기반 AI 모델 학습·개발 환경 제공</t>
  </si>
  <si>
    <t>국가 AI데이터센터 고도화은 시설 조성 자체보다 전력·냉각 효율, 장비 가동률, 입주기업 활용성과를 함께 관리해야 합니다. 지역 인프라와 국가 AI 컴퓨팅 체계가 중복되지 않도록 기능과 수요권역을 명확히 나누는 방향이 필요합니다.</t>
  </si>
  <si>
    <t>고성능컴퓨팅지원</t>
  </si>
  <si>
    <t>(42) AI통합바우처 (2602-336)</t>
  </si>
  <si>
    <t>2602-336</t>
  </si>
  <si>
    <t>제2차관 / 인공지능정책실 / 인공지능인프라정책관 / 인공지능컴퓨팅인프라팀</t>
  </si>
  <si>
    <t>AI 연구개발 생산성･경쟁력 제고를 위해 민간의 학습･추론용 고성능컴퓨팅 자원을 임차하여 중소·벤처기업 등에 제공</t>
  </si>
  <si>
    <t xml:space="preserve">AI 연구개발 생산성･경쟁력 제고를 위해 민간의 학습･추론용 고성능컴퓨팅 자원을 임차하여 중소·벤처기업 등에 제공
수요기관의 전사적 AI･디지털 전환을 목표로 필요한 기술･인프라･데이터를 바우처로 통합 제공해, AX 성공사례 확보
AI 솔루션을 도입하고자 하는 수요기업에게 바우처를 지원하여 국내 기업 AI 도입 촉진 및 AI 산업 경쟁력 강화</t>
  </si>
  <si>
    <t>고성능컴퓨팅지원은 일률적인 공모 지원보다 기업의 성장단계와 기술성숙도에 따라 실증·투자·판로 지원을 구분해야 합니다. 지원 이후 매출, 투자유치, 신규 고객과 후속 민간자금 유입을 중심으로 선별과 후속지원을 운영할 필요가 있습니다.</t>
  </si>
  <si>
    <t>(220) 경쟁형 AI 혁신인재 성장 지원 (2232-331)</t>
  </si>
  <si>
    <t>2232-331</t>
  </si>
  <si>
    <t>경쟁 방식을 통해 AI 혁신인재들이 자유롭게 팀을 구성하여 AI 분야 혁신·제품·서비스를 도전적으로 연구할 수 있도록 지원</t>
  </si>
  <si>
    <t xml:space="preserve">경쟁 방식을 통해 AI 혁신인재들이 자유롭게 팀을 구성하여 AI 분야 혁신·제품·서비스를 도전적으로 연구할 수 있도록 지원
AI 인재가 겨루는 도전·경쟁형 AI 비R&amp;D를 통해 산업 기술 수요에 기반한 AI 혁신 제품·서비스 확보 및 국민적 AI 관심도 제고
스스로 문제를 정의하고 문제해결을 위해 산업 분야에 AI 기술을 활용·적용·응용할 수 있는 학부 대상 AI활용 고급인재 발굴 및 성장 지원</t>
  </si>
  <si>
    <t>(220) 경쟁형 AI 혁신인재 성장 지원 (2232-331)은 교육 인원 확대보다 지역·산업 수요에 맞는 프로젝트 경험과 취업·창업 연결을 강화해야 합니다. 수료자의 현장 배치, 기업의 인력 수요 충족도와 교육 이후 성장경로를 추적할 필요가 있습니다.</t>
  </si>
  <si>
    <t>(222) AI정밀의료SW 선도기반조성 (2233-336)</t>
  </si>
  <si>
    <t>2233-336</t>
  </si>
  <si>
    <t>공공의료 자원 부족 등 문제 해소를 위해, 공공의료기관 특성에 맞는 AI 진단보조 SW 도입 지원 및 클라우드 기반 진료 협력 플랫폼을 통한 의료기관(1~3차 병원 등) 간 디지털 협력 생태계 조성</t>
  </si>
  <si>
    <t xml:space="preserve">공공의료 자원 부족 등 문제 해소를 위해, 공공의료기관 특성에 맞는 AI 진단보조 SW 도입 지원 및 클라우드 기반 진료 협력 플랫폼을 통한 의료기관(1~3차 병원 등) 간 디지털 협력 생태계 조성
의료분야 AI 활용 확산을 지원하여 공공 분야 의료서비스 향상, 공공의료 AI자원 확충 및 디지털 헬스케어 생태계 육성에 기여
AI의료 역량을 갖춘 디지털 전문 의사 양성을 위한 의료AI 교육 과정 의대 정규과정 도입 및 확산 지원</t>
  </si>
  <si>
    <t>(222) AI정밀의료SW 선도기반조성 (2233-336)은 이용료 지원 중심에서 벗어나 클라우드 전환 설계, 보안·인증, 운영 최적화까지 묶은 지원체계로 고도화할 필요가 있습니다. 도입기업의 업무비용 절감과 지속 이용률, 공급기업의 반복 매출을 함께 추적하는 것이 바람직합니다.</t>
  </si>
  <si>
    <t>SW고성장클럽</t>
  </si>
  <si>
    <t>(28) SW산업기반확충 (2233-302)</t>
  </si>
  <si>
    <t>2233-302</t>
  </si>
  <si>
    <t>제2차관 / 정보통신정책실 / 소프트웨어정책관 / 소프트웨어산업과</t>
  </si>
  <si>
    <t>글로벌본부</t>
  </si>
  <si>
    <t>IT‧SW 융합기업의 성장역량 강화를 위한 고성장 SW기업의 글로벌 성장동력 확충 지원</t>
  </si>
  <si>
    <t>SW고성장클럽은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</si>
  <si>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(54) 지역거점AX혁신 기술개발(R&amp;D)(4231-426)</t>
  </si>
  <si>
    <t>4231-426</t>
  </si>
  <si>
    <t>AX 전략 분야(완전자율로봇, 바이오·헬스케어) 기술 현안 및 난제 해결을 위한 핵심 기술개발 지원</t>
  </si>
  <si>
    <t xml:space="preserve">AX 전략 분야(완전자율로봇, 바이오·헬스케어) 기술 현안 및 난제 해결을 위한 핵심 기술개발 지원
全산업의 인공지능 전환에 따른 글로벌 신시장 선점을 위해, ‘AX R&amp;D 허브’ 조성을 통한 글로벌 선도기술력 확보 및 전략산업의 AX 가속화</t>
  </si>
  <si>
    <t>(54) 지역거점AX혁신 기술개발(R&amp;D)(4231-426): 모델·시뮬레이션 개발을 실제 장비 제어와 현장 검증까지 연결하는 통합 실증 체계가 필요합니다. 성능 수치뿐 아니라 안전성, 반복 운용 안정성, 수요기업의 도입 가능성을 함께 확인해 사업화로 이어지는 기반을 마련해야 합니다.</t>
  </si>
  <si>
    <t>(219) AI 분야 오픈소스 생태계 조성 (2232-329)</t>
  </si>
  <si>
    <t>2232-329</t>
  </si>
  <si>
    <t>AI 분야 오픈소스(SW, LLM 등)를 활용한 제품·서비스 개발·사업화 및 컨설팅(라이선스 검증, 기술, 품질 관리 등) 지원</t>
  </si>
  <si>
    <t xml:space="preserve">AI 분야 오픈소스(SW, LLM 등)를 활용한 제품·서비스 개발·사업화 및 컨설팅(라이선스 검증, 기술, 품질 관리 등) 지원
AI 분야 오픈소스 활용 기업 성장 및 인재 양성을 통한 개방형 AI 생태계 구축 및 글로벌 산업 경쟁력 강화
AI 분야 오픈소스 생태계 글로벌 리더급 개발자 육성 관련 인재 양성 프로그램 운영 및 커뮤니티 활성화 등 지원</t>
  </si>
  <si>
    <t>(219) AI 분야 오픈소스 생태계 조성 (2232-329)은 교육 인원 확대보다 지역·산업 수요에 맞는 프로젝트 경험과 취업·창업 연결을 강화해야 합니다. 수료자의 현장 배치, 기업의 인력 수요 충족도와 교육 이후 성장경로를 추적할 필요가 있습니다.</t>
  </si>
  <si>
    <t>AI 특화지구 조성(AHAP)</t>
  </si>
  <si>
    <t>(143) 디지털 질서 기반 구축 및 글로벌 확산 지원 (2033-371)</t>
  </si>
  <si>
    <t>2033-371</t>
  </si>
  <si>
    <t>우수인재·스타트업, 데이터가 모여 AI 유니콘과 신기술이 탄생하고, 일상의 다양한 서비스를 향연하는 AI 특화지구 조성</t>
  </si>
  <si>
    <t>AI 특화지구 조성(AHAP)은 교육 인원 확대보다 지역·산업 수요에 맞는 프로젝트 경험과 취업·창업 연결을 강화해야 합니다. 수료자의 현장 배치, 기업의 인력 수요 충족도와 교육 이후 성장경로를 추적할 필요가 있습니다.</t>
  </si>
  <si>
    <t>(315) 의료AI혁신생태계조성(닥터앤서3.0) (2602-337)</t>
  </si>
  <si>
    <t>2602-337</t>
  </si>
  <si>
    <t>질병 발생 후 환자가 병원과 가정에서 지속적으로 건강 회복 및 유지관리를 할 수 있도록 AI기반의 예후관리 서비스 개발･실증</t>
  </si>
  <si>
    <t>(315) 의료AI혁신생태계조성(닥터앤서3.0) (2602-337)은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</si>
  <si>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(55) 디지털혁신거점 조성지원 (4234-323)</t>
  </si>
  <si>
    <t>4234-323</t>
  </si>
  <si>
    <t>디지털혁신거점 조성지원 : 디지털 신산업의 성장 가능성이 높은 지역 대상으로 지역별 여건을 반영한 생태계를 지역에 형성하고, 초기 조성·확대 지원</t>
  </si>
  <si>
    <t xml:space="preserve">디지털혁신거점 조성지원 : 디지털 신산업의 성장 가능성이 높은 지역 대상으로 지역별 여건을 반영한 생태계를 지역에 형성하고, 초기 조성·확대 지원
디지털 인프라, 기술지원 등 자원이 집적된 지역 디지털혁신거점을 조성하여 디지털 기업·인재가 선호하는 입지를 지역에도 마련
지역 대학 및 연구소의 선도적인 인공지능·데이터 연구 역량과 인력을 활용한 지역기업 애로기술 해소 지원</t>
  </si>
  <si>
    <t>(55) 디지털혁신거점 조성지원 (4234-323):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</si>
  <si>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(324) AI AGENT 선도 국가 사업 (2602-367)</t>
  </si>
  <si>
    <t>2602-367</t>
  </si>
  <si>
    <t>‧ (AI AGENT 인프라 및 생태계 조성) AI 에이전트 실행에 필요한 도구를 수요 기반으로 개발, 보안·신뢰 기반으로 개방·유통하여 AI 에이전트 실행 인프라 기반 조성</t>
  </si>
  <si>
    <t xml:space="preserve">‧ (AI AGENT 인프라 및 생태계 조성) AI 에이전트 실행에 필요한 도구를 수요 기반으로 개발, 보안·신뢰 기반으로 개방·유통하여 AI 에이전트 실행 인프라 기반 조성
AI 에이전트가 필요한 도구를 자율적으로 실행할 수 있는 기술 인프라 기반을 마련하고, 서비스 실증을 통해 AI 에이전트 생태계 조성
‧(AI AGENT 융합･확산 지원) 개발 역량을 보유한 중소기업 등을 대상으로 산업/현장의 필요에 따른 맞춤형 AI 에이전트 서비스 개발･실증 지원</t>
  </si>
  <si>
    <t>(324) AI AGENT 선도 국가 사업 (2602-367)은 모델 규모보다 분야별 정확도와 안전성, 경량화, 실제 서비스 적용성을 균형 있게 검증해야 합니다. 개발 결과가 재사용 가능한 모델·데이터 자산으로 축적되도록 관리하는 방향이 좋습니다.</t>
  </si>
  <si>
    <t>(32) K-Health 국민의료 AI서비스 및 산업생태계 구축 (2601-403)</t>
  </si>
  <si>
    <t>2601-403</t>
  </si>
  <si>
    <t>의료AI 전 과정을 원스톱으로 지원하기 위한 ‘의료 AI 상용화 지원센터’ 및 의료AI 기술을 집적화하고 실효성을 검증하여, 이용자별 서비스 신뢰성·효용성·만족도 제고하기 위한 ‘AI특화병원’ 구축·운영 예산 요구</t>
  </si>
  <si>
    <t xml:space="preserve">의료AI 전 과정을 원스톱으로 지원하기 위한 ‘의료 AI 상용화 지원센터’ 및 의료AI 기술을 집적화하고 실효성을 검증하여, 이용자별 서비스 신뢰성·효용성·만족도 제고하기 위한 ‘AI특화병원’ 구축·운영 예산 요구
AI특화병원과 상용화 인프라를 구축해 의료AI 기술의 실증부터 인허가·상용화·글로벌까지 전주기를 지원
대구 지역 기반으로 지속가능한 의료데이터 활용 체계 마련 및 지역 기업 육성 지원</t>
  </si>
  <si>
    <t>(32) K-Health 국민의료 AI서비스 및 산업생태계 구축 (2601-403)은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</si>
  <si>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(36) 제조업 AI융합 기반 조성 (2601-409)</t>
  </si>
  <si>
    <t>2601-409</t>
  </si>
  <si>
    <t>안전예방, 생산성 제고 등 현안 해결이 필요한 제조업계 수요기업의 데이터를 수집·가공하고, AI솔루션을 개발·실증·확산하기 위한 기반 환경 조성</t>
  </si>
  <si>
    <t xml:space="preserve">안전예방, 생산성 제고 등 현안 해결이 필요한 제조업계 수요기업의 데이터를 수집·가공하고, AI솔루션을 개발·실증·확산하기 위한 기반 환경 조성
제조데이터를 기반으로 맞춤형 AI융합 솔루션 개발·실증을 지원하여 산업의 현안을 해결하고, AI융합 솔루션의 개발·확산 지원
수요처 데이터를 기반으로 제조 현장의 현안 해결에 필요한 AI융합 솔루션 개발·실증</t>
  </si>
  <si>
    <t>(36) 제조업 AI융합 기반 조성 (2601-409)은 기획·실증·사업화가 단절되지 않도록 수요산업과 구매 주체를 초기 단계부터 참여시키는 것이 중요합니다. 사업별 기술성숙도와 시장성을 기준으로 계속·조정 여부를 판단해야 합니다.</t>
  </si>
  <si>
    <t>소형데이터센터기반 AI산업성장지원</t>
  </si>
  <si>
    <t>AI 서비스 개발 수요에 적시 대응 가능한 소규모 데이터센터 등 AI 인프라의 활용성‧접근성을 제고하고 이를 활용한 중소기업, 스타트업의 산업 분야별 AI 혁신 서비스 개발 지원</t>
  </si>
  <si>
    <t>소형데이터센터기반 AI산업성장지원은 시설 조성 자체보다 전력·냉각 효율, 장비 가동률, 입주기업 활용성과를 함께 관리해야 합니다. 지역 인프라와 국가 AI 컴퓨팅 체계가 중복되지 않도록 기능과 수요권역을 명확히 나누는 방향이 필요합니다.</t>
  </si>
  <si>
    <t>(1) ICT창의기업육성 (1139-303)</t>
  </si>
  <si>
    <t>1139-303</t>
  </si>
  <si>
    <t>민간의 전문성을 활용한 ICT 분야 혁신기술 기업의 성장 및 글로벌 진출 활성화 지원, 벤처-투자자 간 협력 네트워크 구축 등 ICT 중소·벤처 생태계 조성</t>
  </si>
  <si>
    <t xml:space="preserve">민간의 전문성을 활용한 ICT 분야 혁신기술 기업의 성장 및 글로벌 진출 활성화 지원, 벤처-투자자 간 협력 네트워크 구축 등 ICT 중소·벤처 생태계 조성
ICT 분야 유망기업을 대상으로 법률·특허 등 전문컨설팅, 해외투자유치 등 글로벌 창업 및 해외 진출 지원
유망 ICT 스타트업을 발굴하여 ICT 기술·경영 창업 멘토링, 성장 등을 지원하고 4차 산업혁명 분야 특화 액셀러레이터를 육성하여 ICT 혁신기술기업 성장기반 구축</t>
  </si>
  <si>
    <t>(1) ICT창의기업육성 (1139-303)은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</si>
  <si>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클라우드서비스 활성화 및 기업경쟁력 강화</t>
  </si>
  <si>
    <t>(32) 클라우드컴퓨팅산업육성(정보화) (2602-311)</t>
  </si>
  <si>
    <t>2602-311</t>
  </si>
  <si>
    <t>제2차관 / 인공지능정책실 / 인공지능인프라정책관 / 인공지능데이터진흥과</t>
  </si>
  <si>
    <t>국내 산업별 클라우드 서비스 개발·사업화 지원, 전문인력 육성 등 국내 기업경쟁력 강화 및 생태계 활성화 추진</t>
  </si>
  <si>
    <t>클라우드서비스 활성화 및 기업경쟁력 강화은 이용료 지원 중심에서 벗어나 클라우드 전환 설계, 보안·인증, 운영 최적화까지 묶은 지원체계로 고도화할 필요가 있습니다. 도입기업의 업무비용 절감과 지속 이용률, 공급기업의 반복 매출을 함께 추적하는 것이 바람직합니다.</t>
  </si>
  <si>
    <t>(14) 사물인터넷신산업육성선도(정보화) (2032-310)</t>
  </si>
  <si>
    <t>2032-310</t>
  </si>
  <si>
    <t>제2차관 / 정보보호네트워크정책실 / 정보보호네트워크정책관 / 디지털기반안전과</t>
  </si>
  <si>
    <t>디지털 전환 기반 기술이 융합된 지능형 IoT 성장동력 모델 발굴·육성 및 글로벌 진출 도모 등 생태계 활성화 및 국민체감 성과 창출</t>
  </si>
  <si>
    <t xml:space="preserve">디지털 전환 기반 기술이 융합된 지능형 IoT 성장동력 모델 발굴·육성 및 글로벌 진출 도모 등 생태계 활성화 및 국민체감 성과 창출
지능형 IoT 적용확산, 제품·서비스 개발 인프라 제공, 시장진출 지원 등 산업 생태계 활성화를 위한 기반 조성
취약한 중소기업의 선제적 대응을 위해 대·중소 기술 협업 및 제품·서비스 테스트·실증·시험인증 지원</t>
  </si>
  <si>
    <t>(14) 사물인터넷신산업육성선도(정보화) (2032-310)은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</si>
  <si>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(6) 3D프린팅산업 육성기반 구축 (2137-301)</t>
  </si>
  <si>
    <t>2137-301</t>
  </si>
  <si>
    <t>사업자 신고제도, 품질인증체계, 정보공유포털, 해외진출, 안전기반 등 산업 활성화 지원체계 구축 및 운영</t>
  </si>
  <si>
    <t xml:space="preserve">사업자 신고제도, 품질인증체계, 정보공유포털, 해외진출, 안전기반 등 산업 활성화 지원체계 구축 및 운영
3D프린팅 산업육성을 위한 3D프린팅 활용·확산 지원, 전문 역량강화 및 산업 활성화 등 신산업 생태계 조성을 통한 기존산업 혁신 및 신시장 창출
3D프린팅 기술을 활용한 제조혁신 및 수요창출을 위해 공공‧의료‧제조산업 등 다양한 분야의 부품‧제품 제작 지원</t>
  </si>
  <si>
    <t>(6) 3D프린팅산업 육성기반 구축 (2137-301)은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</si>
  <si>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산업재직자 AI역량강화</t>
  </si>
  <si>
    <t>(25) 디지털전문·융합인재양성 (2232-325)</t>
  </si>
  <si>
    <t>2232-325</t>
  </si>
  <si>
    <t>금융, 물류유통, 의료 등 기존산업과 AI융합을 통해 디지털 혁신을 선도할 수 있도록 재직자 AI역량 강화, 기업의 디지털 전환 촉진을 위한 맞춤형 교육․컨설팅 지원 및 디지털 전환 전문가 양성 등</t>
  </si>
  <si>
    <t xml:space="preserve">금융, 물류유통, 의료 등 기존산업과 AI융합을 통해 디지털 혁신을 선도할 수 있도록 재직자 AI역량 강화, 기업의 디지털 전환 촉진을 위한 맞춤형 교육․컨설팅 지원 및 디지털 전환 전문가 양성 등
▪ (요구) 산업계 AI융합 촉진을 위한 경영진, 재직자 및 ICT/AI융합전문가 대상 AI교육 확대</t>
  </si>
  <si>
    <t>산업재직자 AI역량강화은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</si>
  <si>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지역 디지털 기업 경쟁력 강화</t>
  </si>
  <si>
    <t>(51) 지역 디지털 기초체력 지원(지역지원) (4231-306)</t>
  </si>
  <si>
    <t>4231-306</t>
  </si>
  <si>
    <t>지역 내 초기·강소 디지털기업의 서비스 개발과 사업화를 지원하고, 기술 고도화·투자유치·시장진출 등 기업 수요에 맞춘 성장 지원을 추진</t>
  </si>
  <si>
    <t>지역 디지털 기업 경쟁력 강화: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</si>
  <si>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(35) AI융합 지능형 농업 생태계 구축 (2601-408)</t>
  </si>
  <si>
    <t>2601-408</t>
  </si>
  <si>
    <t>AI기반 지능형 농업기술의 융합·확산 기반 조성 및 경쟁력 강화를 위해 AI기반 농기계 자율작업 및 정밀농업 기술 개발·실증</t>
  </si>
  <si>
    <t xml:space="preserve">AI기반 지능형 농업기술의 융합·확산 기반 조성 및 경쟁력 강화를 위해 AI기반 농기계 자율작업 및 정밀농업 기술 개발·실증
농기계 자율작업 및 정밀농업 AI솔루션들을 상호 연계하여 지능형 농업기술의 통합 관제 시스템 구축 및 실증
농업데이터 수집·가공 플랫폼을 구축하여AI 자율 농작업 및 농작물 상태 분석·예측 등 정밀농업 AI솔루션 개발</t>
  </si>
  <si>
    <t>(35) AI융합 지능형 농업 생태계 구축 (2601-408)은 기획·실증·사업화가 단절되지 않도록 수요산업과 구매 주체를 초기 단계부터 참여시키는 것이 중요합니다. 사업별 기술성숙도와 시장성을 기준으로 계속·조정 여부를 판단해야 합니다.</t>
  </si>
  <si>
    <t>지역 자율형 디지털 혁신프로젝트</t>
  </si>
  <si>
    <t>지역별 제기한 디지털 혁신 수요 기반 시급성이 높거나 시범 추진이 필요한 ‘중소·단기 프로젝트’ 지원으로 지역 주도 디지털 혁신을 위한 마중물 역할 수행</t>
  </si>
  <si>
    <t>지역 자율형 디지털 혁신프로젝트: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</si>
  <si>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(4) 디지털콘텐츠기업경쟁력강화 (1141-308)</t>
  </si>
  <si>
    <t>1141-308</t>
  </si>
  <si>
    <t>디지털콘텐츠기업경쟁력강화사업 지원 기업의 글로벌 계약건 수</t>
  </si>
  <si>
    <t xml:space="preserve">디지털콘텐츠기업경쟁력강화사업 지원 기업의 글로벌 계약건 수
유망 디지털콘텐츠기업의 북미, 아시아 등 주요 시장 수출 지원을 통한 해외진출 확대 추진
디지털콘텐츠 융합기업의 수요와 해외 진출 역량을 고려한 맞춤형 지원을 통한 기업 수출 경쟁력 강화</t>
  </si>
  <si>
    <t>(4) 디지털콘텐츠기업경쟁력강화 (1141-308):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</si>
  <si>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(31) XaaS 선도 프로젝트 (2233-315)</t>
  </si>
  <si>
    <t>2233-315</t>
  </si>
  <si>
    <t>전(全)산업의 디지털 서비스화를 촉진하기 위해 수요(기존 산업)-공급(SW산업) 기업 간협력을 바탕으로, 산업별 특화 서비스인 ‘XaaS(X(산업)+ as a Service) 선도모델 개발 및 사업화 지원</t>
  </si>
  <si>
    <t xml:space="preserve">전(全)산업의 디지털 서비스화를 촉진하기 위해 수요(기존 산업)-공급(SW산업) 기업 간협력을 바탕으로, 산업별 특화 서비스인 ‘XaaS(X(산업)+ as a Service) 선도모델 개발 및 사업화 지원
산업 내 다수기업에서 활용 가능한 XaaS 서비스 개발을 위한 클라우드 플랫폼 구축·활용, 데이터 생산·학습, SW 테스트·품질 검증 등 지원
XaaS 모델의 실제 환경 내 구현을 통한 서비스 검증, 시범 운용 실적 데이터 확보, 기능개선·성능고도화 및 XaaS 확산 지원</t>
  </si>
  <si>
    <t>(31) XaaS 선도 프로젝트 (2233-315)은 이용료 지원 중심에서 벗어나 클라우드 전환 설계, 보안·인증, 운영 최적화까지 묶은 지원체계로 고도화할 필요가 있습니다. 도입기업의 업무비용 절감과 지속 이용률, 공급기업의 반복 매출을 함께 추적하는 것이 바람직합니다.</t>
  </si>
  <si>
    <t>(34) 데이터 활용 의료·건강 생태계 조성 (2601-407)</t>
  </si>
  <si>
    <t>2601-407</t>
  </si>
  <si>
    <t>◦ 지역 의료 데이터 플랫폼을 활용한 인공지능(AI) 기반 의료 서비스 개발·실증 및 사업화 등을 지원하여 디지털의료 혁신 생태계 조성*</t>
  </si>
  <si>
    <t xml:space="preserve">◦ 지역 의료 데이터 플랫폼을 활용한 인공지능(AI) 기반 의료 서비스 개발·실증 및 사업화 등을 지원하여 디지털의료 혁신 생태계 조성*
AI 의료분야의 산업적 가치가 높은 임상의사결정지원시스템(CDSS) 개발·실증 지원
디지털 의료기기 글로벌 경쟁력 강화를 위해 진단이 가능한 AI 솔루션이 탑재된 의료기기 개발･실증지원</t>
  </si>
  <si>
    <t>(34) 데이터 활용 의료·건강 생태계 조성 (2601-407)은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</si>
  <si>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(301) 디지털 혁신 기술 기반 K-CareNetwork (2233-336)</t>
  </si>
  <si>
    <t>개인 라이프로그 데이터, 의료 데이터 등을 활용하여 AI기술 기반 개인별 맞춤형 디지털치료기기 개발·실증 지원</t>
  </si>
  <si>
    <t>(301) 디지털 혁신 기술 기반 K-CareNetwork (2233-336):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</si>
  <si>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(33) AI 기반 뇌발달질환 디지털의료기기 실증지원 (2601-405)</t>
  </si>
  <si>
    <t>2601-405</t>
  </si>
  <si>
    <t>◦ (AI 기반 뇌발달질환 디지털의료기기 실증지원) 지역 의료기기 제조기업 기술지원을 통한 디지털 치료기기 산업 생태계 저변확대 및 활성화</t>
  </si>
  <si>
    <t xml:space="preserve">◦ (AI 기반 뇌발달질환 디지털의료기기 실증지원) 지역 의료기기 제조기업 기술지원을 통한 디지털 치료기기 산업 생태계 저변확대 및 활성화
산-학-연-병 기반 뇌발달질환 관련 성과물 중에서 예방·치료 분야 디지털 치료기기 사업화 및 고도화 연구 및 제품개발 및 성능 검증
협력병원 연계를 통한 디지털치료기기 제품 집중 실증지원/디지털 치료기기 성능 테스트 및 인허가 컨설팅 지원</t>
  </si>
  <si>
    <t>(33) AI 기반 뇌발달질환 디지털의료기기 실증지원 (2601-405)은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</si>
  <si>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(46) AI선박 특화 플랫폼 및 애플리케이션 개발·실증 (4231-301)</t>
  </si>
  <si>
    <t>AI기반의 선박 중앙집중형 소프트웨어 플랫폼 및 통합 제어·운영 환경을 구축하고, AX솔루션 실 선박 실증을 통한 조선·해운 산업 확산 기반 마련</t>
  </si>
  <si>
    <t xml:space="preserve">AI기반의 선박 중앙집중형 소프트웨어 플랫폼 및 통합 제어·운영 환경을 구축하고, AX솔루션 실 선박 실증을 통한 조선·해운 산업 확산 기반 마련
AI선박 특화 플랫폼 및 애플리케이션 개발·실증
AI선박용 특화 플랫폼과 애플리케이션 구축 및 실증으로 조선·해운 산업의 디지털 전환 촉진과 글로벌 초격차 경쟁력 확보</t>
  </si>
  <si>
    <t>(46) AI선박 특화 플랫폼 및 애플리케이션 개발·실증 (4231-301)은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</si>
  <si>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SW산업기술확산역량강화</t>
  </si>
  <si>
    <t>SW산업의 기반이 되는 공개SW의 생태계 활성화 지원, SW R&amp;D로 개발된 신기술 활용 등을 지원함으로써 국내 SW산업 성장역량 확보 및 기술력 강화 촉진</t>
  </si>
  <si>
    <t>SW산업기술확산역량강화은 개별 지원 건수보다 인재·기업·기술이 다음 성장단계로 이동한 비율을 중심으로 성과를 관리해야 합니다. 유사 프로그램을 연결해 중복을 줄이고 후속 민간투자를 유도할 필요가 있습니다.</t>
  </si>
  <si>
    <t>디지털콘텐츠 인력양성</t>
  </si>
  <si>
    <t>청년(만 39세 이하) 및 석·박사과정생, 재직자 등을 대상으로 한 맞춤형 교육을 통해 가상융합기술 전문인력을 양성하여 가상융합 산업 기반 마련</t>
  </si>
  <si>
    <t>디지털콘텐츠 인력양성: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</si>
  <si>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(41) 지속가능한 데이터센터 산업 발전 지원 (2602-333)</t>
  </si>
  <si>
    <t>2602-333</t>
  </si>
  <si>
    <t>국산 장비·SW 개발·실증 고도화, 실증테스트베드 구축, 인식개선 및 홍보 추진 등을 통해 지속가능한 데이터센터 산업 발전을 지원</t>
  </si>
  <si>
    <t xml:space="preserve">국산 장비·SW 개발·실증 고도화, 실증테스트베드 구축, 인식개선 및 홍보 추진 등을 통해 지속가능한 데이터센터 산업 발전을 지원
인공지능 시대 핵심 인프라인 국내 데이터센터 산업의 지속 가능한 성장 기반 마련
친환경 장비·SW 개발 실증, 비수도권인력양성, 산업실태조사 등 친환경 데이터센터 발전 및 지방분산 활성화 기반 조성</t>
  </si>
  <si>
    <t>(41) 지속가능한 데이터센터 산업 발전 지원 (2602-333)은 시설 조성 자체보다 전력·냉각 효율, 장비 가동률, 입주기업 활용성과를 함께 관리해야 합니다. 지역 인프라와 국가 AI 컴퓨팅 체계가 중복되지 않도록 기능과 수요권역을 명확히 나누는 방향이 필요합니다.</t>
  </si>
  <si>
    <t>(30) AI기반 가상융합산업육성 (2602-313)</t>
  </si>
  <si>
    <t>2602-313</t>
  </si>
  <si>
    <t>AI와 가상융합기술*을 접목한 AI 서비스 개발 및 실증 지원을 통해 정보 체득 및 의사결정 과정을 혁신하는 선도 사례 창출</t>
  </si>
  <si>
    <t xml:space="preserve">AI와 가상융합기술*을 접목한 AI 서비스 개발 및 실증 지원을 통해 정보 체득 및 의사결정 과정을 혁신하는 선도 사례 창출
생산·물류공간의 최적화·효율화로 생산성·부가가치 제고 및 시간·비용 절감이 가능한 산업혁신 AI가상융합서비스 개발·실증 지원
AI의 편의성과 가상융합기술의 실감성을 결합하여 일상을 혁신하는 생활밀착형 AI가상융합서비스 개발·실증 지원</t>
  </si>
  <si>
    <t>(30) AI기반 가상융합산업육성 (2602-313):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</si>
  <si>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디지털 공공 혁신생태계 조성</t>
  </si>
  <si>
    <t>(300) 디지털 공공 혁신 생태계 조성 (2601-359)</t>
  </si>
  <si>
    <t>2601-359</t>
  </si>
  <si>
    <t>제2차관 / 인공지능정책실 / 인공지능인프라정책관 / 인공지능전환지원과</t>
  </si>
  <si>
    <t>디지털 공공 혁신 역량을 갖춘 GovTech* 유망기업의 단계별 맞춤형 지원을 통한 GovTech 창업 생태계 조성</t>
  </si>
  <si>
    <t>디지털 공공 혁신생태계 조성은 일률적인 공모 지원보다 기업의 성장단계와 기술성숙도에 따라 실증·투자·판로 지원을 구분해야 합니다. 지원 이후 매출, 투자유치, 신규 고객과 후속 민간자금 유입을 중심으로 선별과 후속지원을 운영할 필요가 있습니다.</t>
  </si>
  <si>
    <t>(141) 지능형 홈 산업 육성 (2033-378)</t>
  </si>
  <si>
    <t>2033-378</t>
  </si>
  <si>
    <t>홈 IoT 기기들의 자유로운 연결과 인공지능 기반의 고체감 홈 서비스를 구현, 지능형 홈 생태계 조성을 통해 고부가 신시장 창출 및 국민 삶의 질 제고</t>
  </si>
  <si>
    <t xml:space="preserve">홈 IoT 기기들의 자유로운 연결과 인공지능 기반의 고체감 홈 서비스를 구현, 지능형 홈 생태계 조성을 통해 고부가 신시장 창출 및 국민 삶의 질 제고
기기 간 호환성을 보장하는 국제표준과 인공지능 기반의 개인 맞춤형 고체감 지능형 홈 서비스 개발 및 실증
중소 디바이스 기업 글로벌 진출과 지능형 홈 협력 생태계 조성을 위한 글로벌 표준 국제공인시험인증기관 및 얼라이언스 구축·운영</t>
  </si>
  <si>
    <t>(141) 지능형 홈 산업 육성 (2033-378)은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</si>
  <si>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(221) SW산업해외진출역량강화 (2233-304)</t>
  </si>
  <si>
    <t>2233-304</t>
  </si>
  <si>
    <t>제2차관 / 정보통신정책실 / 소프트웨어정책관 / 소프트웨어정책과</t>
  </si>
  <si>
    <t>해외거점 센터(인도, 베트남)를 통한 현지 진출기업 지원, 현지 인력양성 및 종합마케팅 프로그램 개최를 통한 SW기업의 글로벌 진출 기반 마련</t>
  </si>
  <si>
    <t xml:space="preserve">해외거점 센터(인도, 베트남)를 통한 현지 진출기업 지원, 현지 인력양성 및 종합마케팅 프로그램 개최를 통한 SW기업의 글로벌 진출 기반 마련
SW 국제협력 및 SW기업의 해외진출 지원을 통한 SW기업의 글로벌 경쟁력 제고 및 수출 확대
유망 ICT/SW기업의 해외 레퍼런스 확보, 글로벌 SaaS마켓플레이스 진입‧활용 등을 지원하여 글로벌 역량강화 및 해외진출 가능성 제고</t>
  </si>
  <si>
    <t>(221) SW산업해외진출역량강화 (2233-304)은 이용료 지원 중심에서 벗어나 클라우드 전환 설계, 보안·인증, 운영 최적화까지 묶은 지원체계로 고도화할 필요가 있습니다. 도입기업의 업무비용 절감과 지속 이용률, 공급기업의 반복 매출을 함께 추적하는 것이 바람직합니다.</t>
  </si>
  <si>
    <t>SW정책연구소 운영</t>
  </si>
  <si>
    <t>SW산업의 변화에 선제적 대응을 위한 전략적 정책연구를 지속적으로 수행함으로써 전체 산업의 경쟁력을 제고하고, 사회혁신을 도모하는 국가 SW정책 수립 및 지원</t>
  </si>
  <si>
    <t>SW정책연구소 운영은 연구 건수보다 정책 의사결정에 활용된 분석과 산업 현장의 제도 개선 성과를 중심으로 운영할 필요가 있습니다. 연구과제 선정부터 정책 반영, 후속 평가까지 이어지는 활용경로를 공개하는 방향이 좋습니다.</t>
  </si>
  <si>
    <t>(28) 디지털헬스케어기반 AI 융합혁신 허브 조성 (2232-305)</t>
  </si>
  <si>
    <t>2232-305</t>
  </si>
  <si>
    <t>의료데이터 중심의 버티컬 AI와 로보틱스·웨어러블 중심의 피지컬 AI 기술교육 및 산업 적용 연계를 추진하여 디지털헬스케어 AI융합혁신 생태계 조성에 기여</t>
  </si>
  <si>
    <t xml:space="preserve">의료데이터 중심의 버티컬 AI와 로보틱스·웨어러블 중심의 피지컬 AI 기술교육 및 산업 적용 연계를 추진하여 디지털헬스케어 AI융합혁신 생태계 조성에 기여
GPU·NPU 하이브리드 AI 실습환경을 구축하고, 의료데이터 특화 버티컬AI와 로보틱스·웨어러블 중심 피지컬AI 통합 교육 추진
디지털헬스케어 기반 AI 융합혁신 허브 조성</t>
  </si>
  <si>
    <t>(28) 디지털헬스케어기반 AI 융합혁신 허브 조성 (2232-305)은 칩 공급과 실증을 분리하지 말고 실제 서비스 워크로드에서 성능·전력효율·호환성을 검증하는 구조로 운영하는 것이 좋습니다. 검증 결과가 구매계약과 반복 도입, 국산 소프트웨어 생태계 확대로 연결되는지를 성과 기준으로 삼아야 합니다.</t>
  </si>
  <si>
    <t>(29) SW융합클러스터 (2233-301)</t>
  </si>
  <si>
    <t>2233-301</t>
  </si>
  <si>
    <t>지역의 특화산업과 SW를 융합하여 신사업 창출 및 일자리 마련을 위한 SW융합클러스터 2.0 조성 지원</t>
  </si>
  <si>
    <t xml:space="preserve">지역의 특화산업과 SW를 융합하여 신사업 창출 및 일자리 마련을 위한 SW융합클러스터 2.0 조성 지원
지역주도 SW융합 혁신을 위해 지역 강점분야에 수요기반의 맞춤형 SW융합 제품 발굴 및 상용화 지원</t>
  </si>
  <si>
    <t>(29) SW융합클러스터 (2233-301):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</si>
  <si>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(27) 소프트웨어인재키움 (2232-304)</t>
  </si>
  <si>
    <t>2232-304</t>
  </si>
  <si>
    <t>지역 산업의 지속가능한 AI 전환(AX, AI Transformation)을 견인할 지역정주형 핵심실무인력 양성 및 지역인재의 아이디어의 프로토타입 개발․사업화 지원</t>
  </si>
  <si>
    <t xml:space="preserve">지역 산업의 지속가능한 AI 전환(AX, AI Transformation)을 견인할 지역정주형 핵심실무인력 양성 및 지역인재의 아이디어의 프로토타입 개발․사업화 지원
지역산업 디지털 전환의 핵심 인력양성을 위해, 직업계고 재학ㆍ졸업생 등 예비실무인력 대상 AIㆍSW분야 전문ㆍ특화 교육을 추진하여 지역기업 수요에 맞춘 디지털 인력을 양성ㆍ공급
지역 SW교육 프로그램을 통해양성된 지역연고 AI 인재의 아이디어를 바이브코딩*을 활용하여 신속한 사업화 지원</t>
  </si>
  <si>
    <t>(27) 소프트웨어인재키움 (2232-304):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</si>
  <si>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ICT문화융합센터</t>
  </si>
  <si>
    <t>(21) 글로벌ICT혁신클러스터조성 (2137-311)</t>
  </si>
  <si>
    <t>2137-311</t>
  </si>
  <si>
    <t>첨단 ICT 가상융합기술(AI, XR 등)을 기반으로 이종산업간 융합을 통해 新산업분야 성장을 촉진하고자 기업 비즈니스 활성화, 첨단 인프라 활용 지원을 통한 기술 역량 강화</t>
  </si>
  <si>
    <t>ICT문화융합센터은 콘텐츠 제작 건수보다 실제 유통채널 확보와 반복 이용, 기업 매출로 이어지는 사업모델 검증을 강화해야 합니다. 제작 인프라·인력양성·해외진출 사업을 연계해 우수 결과물이 시장에서 계속 활용되도록 설계하는 것이 좋습니다.</t>
  </si>
  <si>
    <t>SW산업 시장환경 개선</t>
  </si>
  <si>
    <t>(29) 공공SW사업 선진화 (2233-305)</t>
  </si>
  <si>
    <t>2233-305</t>
  </si>
  <si>
    <t>SW사업 발주기술 지원 및 발주자 역량 강화, SW사업정보 수집 및 제공, SW사업 법제도 개선 및 지원, 이행 현황 관리감독 등 SW사업의 선진화된 생태계 조성</t>
  </si>
  <si>
    <t>SW산업 시장환경 개선은 개별 지원 건수보다 인재·기업·기술이 다음 성장단계로 이동한 비율을 중심으로 성과를 관리해야 합니다. 유사 프로그램을 연결해 중복을 줄이고 후속 민간투자를 유도할 필요가 있습니다.</t>
  </si>
  <si>
    <t>(48) 해양문화도시 기반의 에이지테크 실증거점 조성(4231-302)</t>
  </si>
  <si>
    <t>4231-302</t>
  </si>
  <si>
    <t>초고령사회 현안 해결과 신시장 창출을 목표로 AX 기반 에이지테크 제품 및 서비스의 실증, 사업화, 글로벌 진출을 지원하는 실증거점 구축</t>
  </si>
  <si>
    <t xml:space="preserve">초고령사회 현안 해결과 신시장 창출을 목표로 AX 기반 에이지테크 제품 및 서비스의 실증, 사업화, 글로벌 진출을 지원하는 실증거점 구축
해양문화도시 기반의 에이지테크 실증거점 조성
초고령화 지역 대상 AX 에이지테크 테스트베드 조성 및 관련 기업의 실증, 사업화, 글로벌화를 지원하고 실생활·고령층 기술보급 확산</t>
  </si>
  <si>
    <t>(48) 해양문화도시 기반의 에이지테크 실증거점 조성(4231-302)은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</si>
  <si>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(57) 홀로그램기술 사업화 실증지원(4234-325)</t>
  </si>
  <si>
    <t>4234-325</t>
  </si>
  <si>
    <t>홀로그램기술개발사업의 기술개발 성과를 활용하고 기업의 사업화 확산을 위한 제품 제작지원, 성능 검증 및 실증 지원, 사업화 지원 및 성장기반 강화 사업 추진</t>
  </si>
  <si>
    <t xml:space="preserve">홀로그램기술개발사업의 기술개발 성과를 활용하고 기업의 사업화 확산을 위한 제품 제작지원, 성능 검증 및 실증 지원, 사업화 지원 및 성장기반 강화 사업 추진
홀로그램 기술개발 성과가 연구실을 넘어 실제 산업에 활용*될수 있도록 비즈니스 모델 발굴 및 실증 지원을 통한 산업기반 강화
홀로그램기술사업화 실증지원 사업의 사업화 지원 건수</t>
  </si>
  <si>
    <t>(57) 홀로그램기술 사업화 실증지원(4234-325)은 콘텐츠 제작 건수보다 실제 유통채널 확보와 반복 이용, 기업 매출로 이어지는 사업모델 검증을 강화해야 합니다. 제작 인프라·인력양성·해외진출 사업을 연계해 우수 결과물이 시장에서 계속 활용되도록 설계하는 것이 좋습니다.</t>
  </si>
  <si>
    <t>(58) 농식품 분야 메타버스 기반 기술실증 지원(4234-336)</t>
  </si>
  <si>
    <t>4234-336</t>
  </si>
  <si>
    <t>농식품 제조 전주기 데이터 표준화, 범용 제조시설의 표준 모델링, 메타버스‧시뮬레이션 기술로 식품 제조공정의 최적화를 지원</t>
  </si>
  <si>
    <t xml:space="preserve">농식품 제조 전주기 데이터 표준화, 범용 제조시설의 표준 모델링, 메타버스‧시뮬레이션 기술로 식품 제조공정의 최적화를 지원
농식품 분야 메타버스 기반 기술실증 지원
농식품 제조공정 데이터를 표준화하고 메타버스 기반의 디지털 공간에서 활용할 수 있도록 푸드테크 디지털 플랫폼 구축</t>
  </si>
  <si>
    <t>(58) 농식품 분야 메타버스 기반 기술실증 지원(4234-336):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</si>
  <si>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체인지업그라운드 지역확산 모델 구축</t>
  </si>
  <si>
    <t>지역에 기반한 디지털 기업 육성 민관협력체계를 구축하고, 유망기업을 발굴·성장 및 지역 미래 성장동력 확보·경제 활성화 지원</t>
  </si>
  <si>
    <t>체인지업그라운드 지역확산 모델 구축: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</si>
  <si>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(53) AI기반 어장 공간정보 빅데이터 플랫폼 구축 및 활용(4231-308)</t>
  </si>
  <si>
    <t>4231-308</t>
  </si>
  <si>
    <t>수산양식 데이터의 통합과 분석‧학습을 통한 데이터 플랫폼 구축 및 AI기반 생육 시뮬레이션, 의사결정지원 서비스 등 AI기반의 국내 수산양식산업의 디지털화 지원</t>
  </si>
  <si>
    <t xml:space="preserve">수산양식 데이터의 통합과 분석‧학습을 통한 데이터 플랫폼 구축 및 AI기반 생육 시뮬레이션, 의사결정지원 서비스 등 AI기반의 국내 수산양식산업의 디지털화 지원
AI기반 어장 공간정보 빅데이터 플랫폼 구축 및 활용
김‧전복 등 국내 양식 산업 비중이 높은 품종을 대상으로 빅데이터 플랫폼 및 AI 서비스를 구축하고 해상양식 현장을 통해 실증 추진</t>
  </si>
  <si>
    <t>(53) AI기반 어장 공간정보 빅데이터 플랫폼 구축 및 활용(4231-308)은 기획·실증·사업화가 단절되지 않도록 수요산업과 구매 주체를 초기 단계부터 참여시키는 것이 중요합니다. 사업별 기술성숙도와 시장성을 기준으로 계속·조정 여부를 판단해야 합니다.</t>
  </si>
  <si>
    <t>현지거점 활용 인프라 지원</t>
  </si>
  <si>
    <t>(18) 해외IT지원센터운영 (2137-303)</t>
  </si>
  <si>
    <t>2137-303</t>
  </si>
  <si>
    <t>제1차관 / 기획조정실 / 국제협력관 / 국제협력총괄담당관</t>
  </si>
  <si>
    <t>ICT 중소‧중견기업 대상 초기 현지 정착에 필요한 입주공간 제공 및 분야별(법인 설립, 회계 등) 자문서비스 제공 등 현지화 지원</t>
  </si>
  <si>
    <t>현지거점 활용 인프라 지원은 기획·실증·사업화가 단절되지 않도록 수요산업과 구매 주체를 초기 단계부터 참여시키는 것이 중요합니다. 사업별 기술성숙도와 시장성을 기준으로 계속·조정 여부를 판단해야 합니다.</t>
  </si>
  <si>
    <t>(339) 4대 지역외 AX 대전환 기획(4231-301)</t>
  </si>
  <si>
    <t>5극 3특 권역 중심으로 인공지능 기반의 산업 혁신과 지역 경쟁력 강화를위한 AX 대전환 실현을 통해 국가균형 발전 기틀 마련</t>
  </si>
  <si>
    <t xml:space="preserve">5극 3특 권역 중심으로 인공지능 기반의 산업 혁신과 지역 경쟁력 강화를위한 AX 대전환 실현을 통해 국가균형 발전 기틀 마련
5극 3특 권역별* 특화 산업·기업 및 지역수요를 분석하고, AX 대전환 로드맵 수립, 투자계획 및 정책적·경제적·기술적 타당성 분석 등 사업 기획
5극 3특 중심 지역 AX 전환이라는 국정과제 실현을 위해 충남권 AX 프로젝트 추진을 위한 사전기획 예산 요구</t>
  </si>
  <si>
    <t>(339) 4대 지역외 AX 대전환 기획(4231-301): 충남의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</si>
  <si>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(5) 디지털콘텐츠산업생태계활성화(정보화) (1141-500)</t>
  </si>
  <si>
    <t>1141-500</t>
  </si>
  <si>
    <t>디지털콘텐츠 성장지원센터(입주공간 등) 지원, 공정거래 환경, 가상융합산업진흥법상 법제도 운영 및 기반 조성 등을 통해 디지털콘텐츠 산업 생태계 활성화</t>
  </si>
  <si>
    <t xml:space="preserve">디지털콘텐츠 성장지원센터(입주공간 등) 지원, 공정거래 환경, 가상융합산업진흥법상 법제도 운영 및 기반 조성 등을 통해 디지털콘텐츠 산업 생태계 활성화
가상융합산업 전환기를 맞은 관련 중소기업 대상 입주공간, 테스트, 컨설팅 지원</t>
  </si>
  <si>
    <t>(5) 디지털콘텐츠산업생태계활성화(정보화) (1141-500):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</si>
  <si>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ICT 규제샌드박스 지정과제 운영</t>
  </si>
  <si>
    <t>(139) ICT 규제샌드박스 (2033-344)</t>
  </si>
  <si>
    <t>2033-344</t>
  </si>
  <si>
    <t>제2차관 / 정보통신정책실 / 정보통신정책관 / 디지털신산업제도과</t>
  </si>
  <si>
    <t>ICT 규제샌드박스 지정과제가 실증착수 및 시장출시되도록 지원하고, 규제개선으로 이어지도록 사업지원, 이행조건 관리, 법·제도 개선 지원 등 사후관리</t>
  </si>
  <si>
    <t>ICT 규제샌드박스 지정과제 운영은 제도 운영 건수보다 기업이 실제로 해소한 규제와 인증 획득, 시장 진입까지 걸린 시간을 줄이는 데 집중해야 합니다. 반복되는 애로사항은 개별 특례에 머물지 않고 공통 기준과 제도 개선으로 환류하는 구조가 필요합니다.</t>
  </si>
  <si>
    <t>(23) 디지털트윈 융합 의료혁신 선도사업 (2033-304)</t>
  </si>
  <si>
    <t>2033-304</t>
  </si>
  <si>
    <t>디지털 의료기기 실증 사업화 및 역량있는 의료기기 기업이 활용할 수 있는 디지털트윈 공동기반을 구축하고, 시제품의 검증기반 및 사업화 지원</t>
  </si>
  <si>
    <t xml:space="preserve">디지털 의료기기 실증 사업화 및 역량있는 의료기기 기업이 활용할 수 있는 디지털트윈 공동기반을 구축하고, 시제품의 검증기반 및 사업화 지원
첨단 의료기기 클러스터를 운영중인 강원도를 중심으로, 국내 디지털 의료기기 개발과 임상 혁신을 위한 의료기기 기업의 디지털 트윈 활용 기반 구축 및 시제품 제작 및 검증 지원</t>
  </si>
  <si>
    <t>(23) 디지털트윈 융합 의료혁신 선도사업 (2033-304)은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</si>
  <si>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(52) 스마트물류 기술 실증화 (4231-307)</t>
  </si>
  <si>
    <t>4231-307</t>
  </si>
  <si>
    <t>물류데이터의 공공개방 및 활용을 위한 디지털 물류 플랫폼 구축, 공공물류센터 수요기반 물류자동화 신서비스 개발 및 실증 추진</t>
  </si>
  <si>
    <t xml:space="preserve">물류데이터의 공공개방 및 활용을 위한 디지털 물류 플랫폼 구축, 공공물류센터 수요기반 물류자동화 신서비스 개발 및 실증 추진
물류데이터 수집·분석·활용을 위한 디지털 물류 플랫폼 구축 및 신서비스 개발·실증, 물류산업의 디지털 전환 촉진</t>
  </si>
  <si>
    <t>(52) 스마트물류 기술 실증화 (4231-307)은 모델·시뮬레이션 개발과 실제 장비 제어, 안전 검증, 현장 운영을 하나의 실증 체계로 묶어야 합니다. 테스트베드 성능이 수요기업의 구매와 생산공정 적용으로 이어지는지를 명확히 확인하는 방향이 좋습니다.</t>
  </si>
  <si>
    <t>(333) AI반도체 지원플랫폼 (2603-324)</t>
  </si>
  <si>
    <t>2603-324</t>
  </si>
  <si>
    <t>국내 AI반도체 관련 기업이 당면하고 있는 AI반도체 기술 및 인력난 극복을 위해 국내·외 인재 공급체계를 구축하여 AI반도체 기업이 즉시 활용 가능한 인력을 지원</t>
  </si>
  <si>
    <t xml:space="preserve">국내 AI반도체 관련 기업이 당면하고 있는 AI반도체 기술 및 인력난 극복을 위해 국내·외 인재 공급체계를 구축하여 AI반도체 기업이 즉시 활용 가능한 인력을 지원
2022~2026년도 성과계획서 상 성과지표 및
작년도 목표의 110%를 반영하여 목표치 설정</t>
  </si>
  <si>
    <t>(333) AI반도체 지원플랫폼 (2603-324)은 칩 공급과 실증을 분리하지 말고 실제 서비스 워크로드에서 성능·전력효율·호환성을 검증하는 구조로 운영하는 것이 좋습니다. 검증 결과가 구매계약과 반복 도입, 국산 소프트웨어 생태계 확대로 연결되는지를 성과 기준으로 삼아야 합니다.</t>
  </si>
  <si>
    <t>(338) 디지털 중심 글로벌 환경규제 대응 솔루션 개발 및 확산 (4231-300)</t>
  </si>
  <si>
    <t>4231-300</t>
  </si>
  <si>
    <t>선박수송 부문의 데이터 기반 환경규제 대응 솔루션 개발 및 실증으로 국내 중소·중견 해운선사의 글로벌 경쟁력․환경규제 대응 강화</t>
  </si>
  <si>
    <t xml:space="preserve">선박수송 부문의 데이터 기반 환경규제 대응 솔루션 개발 및 실증으로 국내 중소·중견 해운선사의 글로벌 경쟁력․환경규제 대응 강화
디지털 중심 글로벌 환경규제 대응 솔루션 개발 및 확산
국내 중소·중견 해운선사의 글로벌 경쟁력·환경규제 대응을 위한 수송부문(해운, 선박)의 디지털기술 활용한 환경규제 솔루션 개발·실증</t>
  </si>
  <si>
    <t>(338) 디지털 중심 글로벌 환경규제 대응 솔루션 개발 및 확산 (4231-300)은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</si>
  <si>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광주 전자 디지털 체험관 구축</t>
  </si>
  <si>
    <t>지역 전자제품 전시 및 최신 ICT 기술을 활용한 디지털 체험 공간 구축, 방문객 참여형 AI 메이커스 기반 디지털 라이브러리 마련</t>
  </si>
  <si>
    <t>광주 전자 디지털 체험관 구축: 광주의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</si>
  <si>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(31) 강원 의료 AX 산업 실증 허브 조성 (2601-301)</t>
  </si>
  <si>
    <t>2601-301</t>
  </si>
  <si>
    <t>◦ 지역(강원)이 보유한 의료데이터와 인공지능(AI)을 결합한 의료 AX(AI 전환) 기술을 실제 의료 현장에 적용·검증하여, 병원 환경에서 신속하게 실증하고 산업화로 확산할 수 있는 「의료 AX 산업 실증 허브」를 조성하고자 함</t>
  </si>
  <si>
    <t xml:space="preserve">◦ 지역(강원)이 보유한 의료데이터와 인공지능(AI)을 결합한 의료 AX(AI 전환) 기술을 실제 의료 현장에 적용·검증하여, 병원 환경에서 신속하게 실증하고 산업화로 확산할 수 있는 「의료 AX 산업 실증 허브」를 조성하고자 함
의료·간호·간병 환경에서 환자 상태를 실시간으로 인식·분석하고, 의료진의 진료 및 돌봄 업무를 보조하는 피지컬AI
영상, 임상, 생체신호 등 다양한 의료데이터를 종합 추론하여 진단 보조, 예후 예측, 치료·관리 계획 수립 등 의료진의 의사결정을 지원하는 자율형 AI 에이전트 서비스 개발·실증</t>
  </si>
  <si>
    <t>(31) 강원 의료 AX 산업 실증 허브 조성 (2601-301): 강원의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</si>
  <si>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(22) 조선AX 특화 AI모델하우스 구축·실증 (2137-339)</t>
  </si>
  <si>
    <t>2137-339</t>
  </si>
  <si>
    <t>. 조선 특화 피지컬 AI 모델 및 시뮬레이터 개발에 필요한 실효성 높은 학습데이터 요구 기준정의, 데이터 확보·가공·합성이 가능한 데이터 공장 및 공동 활용을 위한 파이프라인 구축</t>
  </si>
  <si>
    <t xml:space="preserve">. 조선 특화 피지컬 AI 모델 및 시뮬레이터 개발에 필요한 실효성 높은 학습데이터 요구 기준정의, 데이터 확보·가공·합성이 가능한 데이터 공장 및 공동 활용을 위한 파이프라인 구축
조선 분야 실전용 피지컬 AI 개발에 필요한 학습데이터 설계·확보·가공 등 생성 체계 구축</t>
  </si>
  <si>
    <t>(22) 조선AX 특화 AI모델하우스 구축·실증 (2137-339): 모델·시뮬레이션 개발을 실제 장비 제어와 현장 검증까지 연결하는 통합 실증 체계가 필요합니다. 성능 수치뿐 아니라 안전성, 반복 운용 안정성, 수요기업의 도입 가능성을 함께 확인해 사업화로 이어지는 기반을 마련해야 합니다.</t>
  </si>
  <si>
    <t>(29) 디지털인프라(SW) 진단 및 개선(정보화) (2602-312)</t>
  </si>
  <si>
    <t>2602-312</t>
  </si>
  <si>
    <t>진단 및 개선) 국민 생활·안전과 밀접한 시스템(SW)을 개발하거나 유지관리 및 운영 중인 IT/SW기업, 정부, 지자체, 공공기관 등을 대상으로 교통, 에너지, 재난관리 등 SW안전 중요 분야*의 국민 생활과 밀접한 시스템(SW)에 대해,SW안전 문제를 선제적으로 진단하고 국민 생활 안전 확보</t>
  </si>
  <si>
    <t xml:space="preserve">진단 및 개선) 국민 생활·안전과 밀접한 시스템(SW)을 개발하거나 유지관리 및 운영 중인 IT/SW기업, 정부, 지자체, 공공기관 등을 대상으로 교통, 에너지, 재난관리 등 SW안전 중요 분야*의 국민 생활과 밀접한 시스템(SW)에 대해,SW안전 문제를 선제적으로 진단하고 국민 생활 안전 확보
디지털인프라(SW) 진단 및 개선</t>
  </si>
  <si>
    <t>(29) 디지털인프라(SW) 진단 및 개선(정보화) (2602-312)은 개별 지원 건수보다 인재·기업·기술이 다음 성장단계로 이동한 비율을 중심으로 성과를 관리해야 합니다. 유사 프로그램을 연결해 중복을 줄이고 후속 민간투자를 유도할 필요가 있습니다.</t>
  </si>
  <si>
    <t>(50) 지역 주도 디지털 혁신 지원(자율계정) (4201-301)</t>
  </si>
  <si>
    <t>4201-301</t>
  </si>
  <si>
    <t>광역지자체(12개 지역) 대상, 지역 디지털 정책기능 및 기획 역량 강화를 위한 지역별 디지털 경쟁력 분석·집계 및 지역 디지털 정책 수립 지원</t>
  </si>
  <si>
    <t xml:space="preserve">광역지자체(12개 지역) 대상, 지역 디지털 정책기능 및 기획 역량 강화를 위한 지역별 디지털 경쟁력 분석·집계 및 지역 디지털 정책 수립 지원
제주지역 주도의 디지털 전략과 연계한 지역 강소 디지털 기업 육성을 통해 지역 디지털 기초체력 강화</t>
  </si>
  <si>
    <t>(50) 지역 주도 디지털 혁신 지원(자율계정) (4201-301): 제주의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</si>
  <si>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(323) AI·공간컴퓨팅 창업 생태계 활성화 (2602-366)</t>
  </si>
  <si>
    <t>2602-366</t>
  </si>
  <si>
    <t>AI·공간컴퓨팅 산업의 기술창업 도전 활성화와 초기창업기업의 안정적 성장 지원을 통한 기술집약 산업의 지속 가능한 기술창업 생태계 조성</t>
  </si>
  <si>
    <t xml:space="preserve">AI·공간컴퓨팅 산업의 기술창업 도전 활성화와 초기창업기업의 안정적 성장 지원을 통한 기술집약 산업의 지속 가능한 기술창업 생태계 조성
예비·초기 창업기업 대상 로봇 기반 신서비스 발굴 및 맞춤형 프로그램 운영을 통한 지역 창업 생태계 활성화</t>
  </si>
  <si>
    <t>(323) AI·공간컴퓨팅 창업 생태계 활성화 (2602-366)은 모델·시뮬레이션 개발과 실제 장비 제어, 안전 검증, 현장 운영을 하나의 실증 체계로 묶어야 합니다. 테스트베드 성능이 수요기업의 구매와 생산공정 적용으로 이어지는지를 명확히 확인하는 방향이 좋습니다.</t>
  </si>
  <si>
    <t>(43) 지역특화 AI 공간컴퓨팅 육성 (2602-337)</t>
  </si>
  <si>
    <t>AI가 현실공간을 직접 ’보고 이해하게‘ 만드는 기술로, 사람‧로봇 등의 위치와 움직임을 인식하여 맞춤형 정보제공과 로봇 자율주행을 지원하는 SW핵심기술</t>
  </si>
  <si>
    <t xml:space="preserve">AI가 현실공간을 직접 ’보고 이해하게‘ 만드는 기술로, 사람‧로봇 등의 위치와 움직임을 인식하여 맞춤형 정보제공과 로봇 자율주행을 지원하는 SW핵심기술
AI 기반 공간컴퓨팅 기술을 활용한 산업 혁신 서비스와 실질적인 효과가 높은 신규 특화분야 서비스 개발·실증 지원
지역사회 문제와 산업현안을 기반으로 지역특화 분야에 대한 AI·공간컴퓨팅 특화 서비스 개발 및 실증 지원</t>
  </si>
  <si>
    <t>(43) 지역특화 AI 공간컴퓨팅 육성 (2602-337): 모델·시뮬레이션 개발을 실제 장비 제어와 현장 검증까지 연결하는 통합 실증 체계가 필요합니다. 성능 수치뿐 아니라 안전성, 반복 운용 안정성, 수요기업의 도입 가능성을 함께 확인해 사업화로 이어지는 기반을 마련해야 합니다.</t>
  </si>
  <si>
    <t>K-Lab 설치및운영</t>
  </si>
  <si>
    <t>(7) 개도국 정보통신방송 개발협력지원 (1232-303)</t>
  </si>
  <si>
    <t>1232-303</t>
  </si>
  <si>
    <t>제1차관 / 기획조정실 / 국제협력관 / 구주아프리카협력담당관</t>
  </si>
  <si>
    <t>개도국에 디지털제작 인프라 구축 및 교육운영을 통해 현지국 실정에 맞는 디지털 제조 기반 창업 인재 육성 등 ICT혁신 역량 강화 및 창업문화 확산 지원</t>
  </si>
  <si>
    <t>K-Lab 설치및운영은 교육 인원 확대보다 지역·산업 수요에 맞는 프로젝트 경험과 취업·창업 연결을 강화해야 합니다. 수료자의 현장 배치, 기업의 인력 수요 충족도와 교육 이후 성장경로를 추적할 필요가 있습니다.</t>
  </si>
  <si>
    <t>디지털 안전 선도모델 개발</t>
  </si>
  <si>
    <t>(34) 디지털 융합보안 기반 확충 (2333-304)</t>
  </si>
  <si>
    <t>2333-304</t>
  </si>
  <si>
    <t>재난, 생활, 일터안전 3대 분야에서 국민안전 강화를 위해 AI, IoT 등 디지털 기술을 융합ㆍ활용한 선도모델 발굴 및 실증 지원</t>
  </si>
  <si>
    <t>디지털 안전 선도모델 개발은 기획·실증·사업화가 단절되지 않도록 수요산업과 구매 주체를 초기 단계부터 참여시키는 것이 중요합니다. 사업별 기술성숙도와 시장성을 기준으로 계속·조정 여부를 판단해야 합니다.</t>
  </si>
  <si>
    <t>AI 산·학·연 협력체계 구축</t>
  </si>
  <si>
    <t>제2차관 / 인공지능정책실 / 인공지능기반정책관 / 인공지능기반정책과</t>
  </si>
  <si>
    <t>AI분야 산·학·연이 참여하는 협력체계를 구성하고 AI 경쟁력 확보를 위한 공동과제 운영 등을 지원</t>
  </si>
  <si>
    <t>AI 산·학·연 협력체계 구축은 개별 지원 건수보다 인재·기업·기술이 다음 성장단계로 이동한 비율을 중심으로 성과를 관리해야 합니다. 유사 프로그램을 연결해 중복을 줄이고 후속 민간투자를 유도할 필요가 있습니다.</t>
  </si>
  <si>
    <t>ICT 규제샌드박스 제도 운영</t>
  </si>
  <si>
    <t>ICT 규제샌드박스 제도(신속처리, 실증특례, 임시허가) 운영을 통해 규제에 가로막힌 신규 정보통신 융합 기술·서비스의 신속한 시장진출 및 사업화 지원</t>
  </si>
  <si>
    <t xml:space="preserve">ICT 규제샌드박스 제도(신속처리, 실증특례, 임시허가) 운영을 통해 규제에 가로막힌 신규 정보통신 융합 기술·서비스의 신속한 시장진출 및 사업화 지원
ICT 규제샌드박스 제도의 안정적인 운영 및 활성화 지원, 규제샌드박스 신청기업의 상담·서류 컨설팅, 심의위원회 운영 등 특례부여 지원</t>
  </si>
  <si>
    <t>ICT 규제샌드박스 제도 운영은 제도 운영 건수보다 기업이 실제로 해소한 규제와 인증 획득, 시장 진입까지 걸린 시간을 줄이는 데 집중해야 합니다. 반복되는 애로사항은 개별 특례에 머물지 않고 공통 기준과 제도 개선으로 환류하는 구조가 필요합니다.</t>
  </si>
  <si>
    <t>(국제협력 인프라 강화) (해외진출 정보제공 및 시스템 운영) (융합서비스 글로벌 마케팅 강화)</t>
  </si>
  <si>
    <t>(6) 정보통신방송 해외진출지원 (1232-301)</t>
  </si>
  <si>
    <t>1232-301</t>
  </si>
  <si>
    <t>글로벌ICT포털(GIP) 사이트를 통해 정보통신방송분야의 해외진출에 필요한 정보제공과 현지 전문가 비대면 상담을 온라인으로 상시 제공하여 ICT 기업들의 해외시장 판로개척 지원</t>
  </si>
  <si>
    <t xml:space="preserve">글로벌ICT포털(GIP) 사이트를 통해 정보통신방송분야의 해외진출에 필요한 정보제공과 현지 전문가 비대면 상담을 온라인으로 상시 제공하여 ICT 기업들의 해외시장 판로개척 지원
국내 ICT·콘텐츠 기업의 해외 거래선 발굴·매칭, 수출상담회 개최 등 해외마케팅 활동 지원을 통한 전략시장 진출 및 신규 판로개척 지원
ICT 주요 협력국, 국제기구 대상 양․다자 회의, 협력 행사 등을통한 G2G 정책 교류 협력 지원 및 협력과제 발굴</t>
  </si>
  <si>
    <t>(국제협력 인프라 강화) (해외진출 정보제공 및 시스템 운영) (융합서비스 글로벌 마케팅 강화)은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</si>
  <si>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(175) 자립준비청년 디지털 진로지원 (2137-358)</t>
  </si>
  <si>
    <t>2137-358</t>
  </si>
  <si>
    <t>￭ (디지털 창업지원) 디지털 분야 기초 창업교육 및 전문 실전 창업교육 지원 ￭ (디지털 창작교육) 1인 미디어 창작자 기초교육 및 크리에이터 관련 전문기술 교육, 예비 자립준비청년(16~18세) 대상 Pre 창작스쿨 지원 ￭ (디지털 취업연계)구직 희망 자립준비청년과 디지털 기업을 매칭, 디지털 직무교육 및 인턴십 지원</t>
  </si>
  <si>
    <t xml:space="preserve">￭ (디지털 창업지원) 디지털 분야 기초 창업교육 및 전문 실전 창업교육 지원 ￭ (디지털 창작교육) 1인 미디어 창작자 기초교육 및 크리에이터 관련 전문기술 교육, 예비 자립준비청년(16~18세) 대상 Pre 창작스쿨 지원 ￭ (디지털 취업연계)구직 희망 자립준비청년과 디지털 기업을 매칭, 디지털 직무교육 및 인턴십 지원
자립준비청년의 자립 능력을 배양하여 건강한 사회구성원으로 성장할 수 있도록, 디지털 분야 창업, 창작 및 취업연계 등 진로지원</t>
  </si>
  <si>
    <t>(175) 자립준비청년 디지털 진로지원 (2137-358)은 교육 인원 확대보다 지역·산업 수요에 맞는 프로젝트 경험과 취업·창업 연결을 강화해야 합니다. 수료자의 현장 배치, 기업의 인력 수요 충족도와 교육 이후 성장경로를 추적할 필요가 있습니다.</t>
  </si>
  <si>
    <t>(27) 생성형 AI기반 가상융합 콘텐츠 제작센터(2232-423)</t>
  </si>
  <si>
    <t>2232-423</t>
  </si>
  <si>
    <t>가상융합산업 진흥법 제정을 계기로, 가상융합산업 분야 전문인력 수요에 대응하고, 지역의 가상융합 콘텐츠 산업 활성화를 위한 생성형 AI 기반 가상융합 콘텐츠 제작 인력 양성 추진</t>
  </si>
  <si>
    <t xml:space="preserve">가상융합산업 진흥법 제정을 계기로, 가상융합산업 분야 전문인력 수요에 대응하고, 지역의 가상융합 콘텐츠 산업 활성화를 위한 생성형 AI 기반 가상융합 콘텐츠 제작 인력 양성 추진
생성형 AI 기초 &amp;프롬프트 실습, VFX 기초 이론, 합성 기초, 생성형 AI 기반 워크플로·후처리·파인튜닝 등 가상융합 콘텐츠 제작 교육
생성형AI기반 가상융합 콘텐츠 제작 전문인력 양성</t>
  </si>
  <si>
    <t>(27) 생성형 AI기반 가상융합 콘텐츠 제작센터(2232-423):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</si>
  <si>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GPU임차</t>
  </si>
  <si>
    <t>글로벌 수준의 AI 파운데이션 모델 개발 확보를 위한 실력 있는 국내 AI 기업 지원(’25년1차추경 독자AI파운데이션모델프로젝트 등) 등 국가적 프로젝트 사업 관리 지원</t>
  </si>
  <si>
    <t>GPU임차은 단기 자원 제공에 머물지 않도록 이용기업의 개발 단계와 필요한 연산량을 연동해 배분해야 합니다. 지원 종료 뒤 유료 전환, 투자유치 또는 제품 출시로 이어진 사례를 중심으로 효과를 확인할 필요가 있습니다.</t>
  </si>
  <si>
    <t>인공지능 신뢰성 혁신 실증사업</t>
  </si>
  <si>
    <t>(47) 인공지능 신뢰성 혁신 실증사업 (4231-301)</t>
  </si>
  <si>
    <t>AI 제품·서비스를 보유한 지역 AX기업 대상, AI 위험도 진단 및 신뢰성 보완, AI 검·인증 등 AI 신뢰성 향상 지원 - 활용 아이디어를 보유한 지역기업 대상, 기획단계부터 AI 신뢰성 컨설팅·구현·검인증 등 AI 신뢰성 설계·확보 지원</t>
  </si>
  <si>
    <t xml:space="preserve">AI 제품·서비스를 보유한 지역 AX기업 대상, AI 위험도 진단 및 신뢰성 보완, AI 검·인증 등 AI 신뢰성 향상 지원 - 활용 아이디어를 보유한 지역기업 대상, 기획단계부터 AI 신뢰성 컨설팅·구현·검인증 등 AI 신뢰성 설계·확보 지원
◯(인공지능 신뢰성 혁신 실증사업) 지역특화산업 AX기업 글로벌 규제 대응력 및 시장경쟁력 제고를 위한 AI안전⋅신뢰성 확보 지원을 통해 신뢰가능한 AI생태계 조성</t>
  </si>
  <si>
    <t>인공지능 신뢰성 혁신 실증사업: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</si>
  <si>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디지털 장관회의 개최</t>
  </si>
  <si>
    <t>(8) 국제회의 개최 및 국제기구 활동지원 (1233-301)</t>
  </si>
  <si>
    <t>1233-301</t>
  </si>
  <si>
    <t>제1차관 / 기획조정실 / 국제협력관 / 다자협력담당관</t>
  </si>
  <si>
    <t>ICT·디지털 분야 고위급 회의 개최를 통해 국가 간 협력 네트워크 구축하고, ICT·디지털 선도국으로서 위상 제고 및 디지털 의제 선도</t>
  </si>
  <si>
    <t>디지털 장관회의 개최은 행사·상담 건수보다 목표시장별 현지 수요처와 규제·인증 조건을 사전에 좁혀 지원하는 방식이 효과적입니다. 현지 실증 이후 계약, 수출, 공동사업으로 전환된 성과를 중심으로 후속 지원을 차등화해야 합니다.</t>
  </si>
  <si>
    <t>SW기업성장 촉진지원</t>
  </si>
  <si>
    <t>중소기업의 성장을 뒷받침하는 SW인식 제고 활동, 중소SW기업 보유기술의 사업화를 위한 SW IP평가보증지원, ICT/SW산업에서 여성의 역량향상 지원을 통한 SW산업 경쟁력 강화</t>
  </si>
  <si>
    <t>SW기업성장 촉진지원은 일률적인 공모 지원보다 기업의 성장단계와 기술성숙도에 따라 실증·투자·판로 지원을 구분해야 합니다. 지원 이후 매출, 투자유치, 신규 고객과 후속 민간자금 유입을 중심으로 선별과 후속지원을 운영할 필요가 있습니다.</t>
  </si>
  <si>
    <t>(43) 국가 NPU전용 컴퓨팅센터 광주 설립(설계비) (2601-418)</t>
  </si>
  <si>
    <t>2601-418</t>
  </si>
  <si>
    <t>급증하는 AI 추론 서비스 수요 대비 부족한 인프라 보완을 위해, 국산 NPU 성능검증·서비스 실증을 체계적으로 지원할 수 있는 인프라 마련</t>
  </si>
  <si>
    <t xml:space="preserve">급증하는 AI 추론 서비스 수요 대비 부족한 인프라 보완을 위해, 국산 NPU 성능검증·서비스 실증을 체계적으로 지원할 수 있는 인프라 마련
국산 NPU 기반 추론 전용 데이터센터 구축·운영을 통해 GPU 의존도 완화</t>
  </si>
  <si>
    <t>(43) 국가 NPU전용 컴퓨팅센터 광주 설립(설계비) (2601-418)은 칩 공급과 실증을 분리하지 말고 실제 서비스 워크로드에서 성능·전력효율·호환성을 검증하는 구조로 운영하는 것이 좋습니다. 검증 결과가 구매계약과 반복 도입, 국산 소프트웨어 생태계 확대로 연결되는지를 성과 기준으로 삼아야 합니다.</t>
  </si>
  <si>
    <t>(13) 디지털트윈 3D프린팅 의료공동제조소 실증(2033-506)</t>
  </si>
  <si>
    <t>2033-506</t>
  </si>
  <si>
    <t>3D프린팅 의료공동제조소 디지털트윈 구축을 통해 의료기기 제조공정 실시간 검증및 즉각적인 오류 수정으로 불량률 감소 및 제조 시간 단축 등 제조 생산성 향상</t>
  </si>
  <si>
    <t xml:space="preserve">3D프린팅 의료공동제조소 디지털트윈 구축을 통해 의료기기 제조공정 실시간 검증및 즉각적인 오류 수정으로 불량률 감소 및 제조 시간 단축 등 제조 생산성 향상
3D프린팅 의료공동제조소에 디지털 트윈 기능 구현
3D프린팅 의료공동제조소 설비에 디지털트윈 기능 구현을 통해 3D프린팅 공정 데이터 기반 품질관리 고도화, 공정 효율화 추진</t>
  </si>
  <si>
    <t>(13) 디지털트윈 3D프린팅 의료공동제조소 실증(2033-506)은 기술 시연보다 의료·생활 현장에서의 안전성, 유효성, 사용자 수용성을 먼저 입증해야 합니다. 임상·실증 근거와 인허가 준비도, 의료기관의 후속 도입 여부를 연결해 사업 성과를 판단하는 방향이 적절합니다.</t>
  </si>
  <si>
    <t>AI 규제혁신 스케일박스</t>
  </si>
  <si>
    <t>AI 안전성·신뢰성 확보를 위해 민간이 하기 어려운 AI 국제표준화·인증 지원 및 생성형 AI 규제 신속확인 시스템 도입·운영 등을 통해 AI 특화 규제 개선 체계 마련</t>
  </si>
  <si>
    <t>AI 규제혁신 스케일박스은 제도 운영 건수보다 기업이 실제로 해소한 규제와 인증 획득, 시장 진입까지 걸린 시간을 줄이는 데 집중해야 합니다. 반복되는 애로사항은 개별 특례에 머물지 않고 공통 기준과 제도 개선으로 환류하는 구조가 필요합니다.</t>
  </si>
  <si>
    <t>광주 AI 실증도시 실현(기본계획 수립 용역비)</t>
  </si>
  <si>
    <t>(42) 광주 AI 실증도시 실현(기본계획 수립 용역비) (2601-417)</t>
  </si>
  <si>
    <t>2601-417</t>
  </si>
  <si>
    <t>광주 내 기 구축한 AI 인프라와 지역 특화 산업 역량을 바탕으로 도시규모의 규제프리 실증거점 구축 마스터플랜 수립</t>
  </si>
  <si>
    <t>광주 AI 실증도시 실현(기본계획 수립 용역비): 광주의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</si>
  <si>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지역디지털사업 운영 및 활성화</t>
  </si>
  <si>
    <t>① 지역디지털 사업 평가 및 성과 관리·분석, 성과보고회 ② ICT분야 인프라 및 성과 공동활용 플랫폼, 지역 디지털 정책 역량 강화를 위한 실태조사·분석, 중앙-지방 디지털 정책 협력 등 추진</t>
  </si>
  <si>
    <t>지역디지털 사업 평가 및 성과 관리·분석, 성과보고회 ② ICT분야 인프라 및 성과 공동활용 플랫폼, 지역 디지털 정책 역량 강화를 위한 실태조사·분석, 중앙-지방 디지털 정책 협력 등 추진</t>
  </si>
  <si>
    <t>지역디지털사업 운영 및 활성화: 지역 주력산업과 현안에 맞는 AX 과제를 발굴하고, 지역기업·수요기관이 함께 검증하는 구조로 추진할 필요가 있습니다. 실증 이후의 매출·고용 효과와 다른 권역으로의 확산 가능성을 기준으로 성과를 관리하는 방향이 적절합니다.</t>
  </si>
  <si>
    <t>K-OTT 확산 지원</t>
  </si>
  <si>
    <t>(2) 디지털미디어산업 육성기반 구축 (1140-301)</t>
  </si>
  <si>
    <t>1140-301</t>
  </si>
  <si>
    <t>제2차관 / 정보보호네트워크정책실 / 통신정책관 / 디지털플랫폼팀</t>
  </si>
  <si>
    <t>K-OTT‧FAST(광고기반 무료 스트리밍TV) 산업 발전을 위한 국제 교류의 場으로, 국내 OTT‧콘텐츠‧AI 등 미디어 테크 기업의 해외진출 기회 확대 제공</t>
  </si>
  <si>
    <t>K-OTT 확산 지원: 제작 지원에 그치지 않고 유통 채널 확보, 반복 이용, 기업 매출로 이어지는 사업모델 검증을 강화해야 합니다. 제작 인프라·인력양성·해외진출 지원을 연계해 우수 결과물이 시장에서 지속 활용되도록 추진하는 것이 중요합니다.</t>
  </si>
  <si>
    <t>정보통신전문가 초청연수</t>
  </si>
  <si>
    <t>개도국 정보통신방송분야 전문인력을 초청하여 우리나라의 선진기술과 개발경험을 교육하고 홍보함으로써 개도국 역량배양 및 대외관계 강화</t>
  </si>
  <si>
    <t>정보통신전문가 초청연수은 교육 인원 확대보다 지역·산업 수요에 맞는 프로젝트 경험과 취업·창업 연결을 강화해야 합니다. 수료자의 현장 배치, 기업의 인력 수요 충족도와 교육 이후 성장경로를 추적할 필요가 있습니다.</t>
  </si>
  <si>
    <t>소프트웨어 프로세스 인증 확산</t>
  </si>
  <si>
    <t>중소 SW기업의 역량 강화와 제도 개선, SP인증 심사업무 및 SW 품질체계 지원을 통해 인증 활성화와 기업의 품질 경쟁력 강화를 추진</t>
  </si>
  <si>
    <t>소프트웨어 프로세스 인증 확산은 제도 운영 건수보다 기업이 실제로 해소한 규제와 인증 획득, 시장 진입까지 걸린 시간을 줄이는 데 집중해야 합니다. 반복되는 애로사항은 개별 특례에 머물지 않고 공통 기준과 제도 개선으로 환류하는 구조가 필요합니다.</t>
  </si>
  <si>
    <t>(44) 지역디지털기초체력지원(제주) (4201-301)</t>
  </si>
  <si>
    <t>(45) 지역디지털기초체력지원(세종) (4201-302)</t>
  </si>
  <si>
    <t>4201-302</t>
  </si>
  <si>
    <t>NIPA 2026 레이어 현황</t>
  </si>
  <si>
    <t>사업 DB의 현재 값을 기준으로 자동 집계됩니다.</t>
  </si>
  <si>
    <t>구분</t>
  </si>
  <si>
    <t>활용 안내</t>
  </si>
  <si>
    <t>사업 DB에서 해당 값을 필터하면 상세 목록을 확인할 수 있습니다.</t>
  </si>
  <si>
    <t>NIPA 2026 본부별 현황</t>
  </si>
  <si>
    <t>신규 사업 추가·기존 사업 수정</t>
  </si>
  <si>
    <t>엑셀의 직접 편집 장점을 활용하는 업무 절차입니다.</t>
  </si>
  <si>
    <t>업무</t>
  </si>
  <si>
    <t>사용 방법</t>
  </si>
  <si>
    <t>신규 사업 추가</t>
  </si>
  <si>
    <t>사업 DB 표의 마지막 빈 행에 값을 입력하고 관리상태를 “신규”로 선택합니다. 사업명과 세부사업명이 다르면 내역사업으로 관리할 수 있습니다.</t>
  </si>
  <si>
    <t>기존 사업 수정</t>
  </si>
  <si>
    <t>사업 DB에서 사업코드·사업명으로 행을 찾은 뒤 해당 셀을 직접 수정합니다. 변경 검토가 필요하면 관리상태를 “검토”로 바꿉니다.</t>
  </si>
  <si>
    <t>분류 선택</t>
  </si>
  <si>
    <t>회계와 레이어는 드롭다운을 사용합니다. 공동 담당 본부는 “AI반도체본부 · 글로벌본부”처럼 가운데점으로 구분해 입력할 수 있습니다.</t>
  </si>
  <si>
    <t>백업 권장</t>
  </si>
  <si>
    <t>수정 전 파일을 다른 이름으로 저장해 버전을 남기세요. HTML 대시보드로 반영하려면 수정된 사업 DB 시트를 DB 관리 탭에 업로드합니다.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</si>
</sst>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2375B"/>
      <sz val="22"/>
      <name val="맑은 고딕"/>
    </font>
    <font>
      <color rgb="FF60758A"/>
      <sz val="10"/>
      <name val="맑은 고딕"/>
    </font>
    <font>
      <b/>
      <color rgb="FFFFFFFF"/>
      <name val="맑은 고딕"/>
    </font>
    <font>
      <b/>
      <color rgb="FF12375B"/>
      <sz val="14"/>
    </font>
    <font>
      <b/>
      <color rgb="FF60758A"/>
      <sz val="10"/>
      <name val="맑은 고딕"/>
    </font>
    <font>
      <b/>
      <color rgb="FF12375B"/>
      <sz val="20"/>
      <name val="맑은 고딕"/>
    </font>
    <font>
      <b/>
      <color rgb="FFFFFFFF"/>
    </font>
  </fonts>
  <fills count="4">
    <fill>
      <patternFill patternType="none"/>
    </fill>
    <fill>
      <patternFill patternType="gray125"/>
    </fill>
    <fill>
      <patternFill patternType="solid">
        <fgColor rgb="FF245F9E"/>
      </patternFill>
    </fill>
    <fill>
      <patternFill patternType="solid">
        <fgColor rgb="FFEAF2F9"/>
      </patternFill>
    </fill>
  </fills>
  <borders count="2">
    <border>
      <left/>
      <right/>
      <top/>
      <bottom/>
      <diagonal/>
    </border>
    <border>
      <left style="thin">
        <color rgb="FFD5E0EA"/>
      </left>
      <right style="thin">
        <color rgb="FFD5E0EA"/>
      </right>
      <top style="thin">
        <color rgb="FFD5E0EA"/>
      </top>
      <bottom style="thin">
        <color rgb="FFD5E0EA"/>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horizontal="center" vertical="center"/>
    </xf>
    <xf numFmtId="0" fontId="4" fillId="0" borderId="0" xfId="0" applyFont="1"/>
    <xf numFmtId="0" fontId="5" fillId="3" borderId="1" xfId="0" applyFont="1" applyFill="1" applyBorder="1" applyAlignment="1">
      <alignment horizontal="center" vertical="center"/>
    </xf>
    <xf numFmtId="3" fontId="6" fillId="3" borderId="1" xfId="0" applyNumberFormat="1" applyFont="1" applyFill="1" applyBorder="1" applyAlignment="1">
      <alignment horizontal="center" vertical="center"/>
    </xf>
    <xf numFmtId="0" fontId="0" fillId="0" borderId="1" xfId="0" applyBorder="1"/>
    <xf numFmtId="3" fontId="0" fillId="0" borderId="1" xfId="0" applyNumberFormat="1" applyBorder="1"/>
    <xf numFmtId="0" fontId="7" fillId="0" borderId="0" xfId="0" applyFont="1" applyAlignment="1">
      <alignment horizontal="center" vertical="center" wrapText="1"/>
    </xf>
    <xf numFmtId="0" fontId="0" fillId="0" borderId="0" xfId="0" applyAlignment="1">
      <alignment vertical="top"/>
    </xf>
    <xf numFmtId="0" fontId="0" fillId="0" borderId="0" xfId="0" applyAlignment="1">
      <alignment vertical="top" wrapText="1"/>
    </xf>
    <xf numFmtId="3" fontId="0" fillId="0" borderId="0" xfId="0" applyNumberFormat="1" applyAlignment="1">
      <alignment vertical="top" wrapText="1"/>
    </xf>
    <xf numFmtId="0" fontId="7" fillId="2" borderId="0" xfId="0" applyFont="1" applyFill="1"/>
    <xf numFmtId="0" fontId="0" fillId="0" borderId="1" xfId="0" applyBorder="1" applyAlignment="1">
      <alignment vertical="center" wrapText="1"/>
    </xf>
    <xf numFmtId="3" fontId="0" fillId="0" borderId="1" xfId="0" applyNumberFormat="1" applyBorder="1" applyAlignment="1">
      <alignment vertical="center" wrapText="1"/>
    </xf>
    <xf numFmtId="0" fontId="7" fillId="2" borderId="1" xfId="0" applyFont="1" applyFill="1" applyBorder="1"/>
  </cellXfs>
  <cellStyles count="1">
    <cellStyle name="Normal" xfId="0" builtinId="0"/>
  </cellStyles>
  <dxfs count="1">
    <dxf>
      <fill>
        <patternFill patternType="solid">
          <bgColor rgb="FFDDF4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사업DB" displayName="사업DB" ref="A8:L154" totalsRowShown="1" headerRowCount="1">
  <autoFilter ref="A8:L1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관리상태" totalsRowLabel="Total"/>
    <tableColumn id="2" name="사업명" totalsRowFunction="none"/>
    <tableColumn id="3" name="세부사업명" totalsRowFunction="none"/>
    <tableColumn id="4" name="사업코드" totalsRowFunction="none"/>
    <tableColumn id="5" name="회계" totalsRowFunction="none"/>
    <tableColumn id="6" name="레이어" totalsRowFunction="none"/>
    <tableColumn id="7" name="과기정통부 소관" totalsRowFunction="none"/>
    <tableColumn id="8" name="NIPA 본부" totalsRowFunction="none"/>
    <tableColumn id="9" name="2026년 예산(백만원)" totalsRowFunction="none"/>
    <tableColumn id="10" name="개요" totalsRowFunction="none"/>
    <tableColumn id="11" name="주요내용" totalsRowFunction="none"/>
    <tableColumn id="12" name="추진방향"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45824;&#49884;&#48372;&#46300;&apos;!A1" TargetMode="External"/><Relationship Id="rId2" Type="http://schemas.openxmlformats.org/officeDocument/2006/relationships/hyperlink" Target="#&apos;&#49324;&#50629; DB&apos;!A1" TargetMode="External"/><Relationship Id="rId3" Type="http://schemas.openxmlformats.org/officeDocument/2006/relationships/hyperlink" Target="#&apos;&#49888;&#44508;&#51077;&#47141; &#50504;&#45236;&apos;!A1" TargetMode="External"/><Relationship Id="rId4" Type="http://schemas.openxmlformats.org/officeDocument/2006/relationships/hyperlink" Target="#&apos;&#47112;&#51060;&#50612; &#54788;&#54889;&apos;!A1" TargetMode="External"/><Relationship Id="rId5" Type="http://schemas.openxmlformats.org/officeDocument/2006/relationships/hyperlink" Target="#&apos;&#48376;&#48512;&#48324; &#54788;&#54889;&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45824;&#49884;&#48372;&#46300;&apos;!A1" TargetMode="External"/><Relationship Id="rId2" Type="http://schemas.openxmlformats.org/officeDocument/2006/relationships/hyperlink" Target="#&apos;&#49324;&#50629; DB&apos;!A1" TargetMode="External"/><Relationship Id="rId3" Type="http://schemas.openxmlformats.org/officeDocument/2006/relationships/hyperlink" Target="#&apos;&#49888;&#44508;&#51077;&#47141; &#50504;&#45236;&apos;!A1" TargetMode="External"/><Relationship Id="rId4" Type="http://schemas.openxmlformats.org/officeDocument/2006/relationships/hyperlink" Target="#&apos;&#47112;&#51060;&#50612; &#54788;&#54889;&apos;!A1" TargetMode="External"/><Relationship Id="rId5" Type="http://schemas.openxmlformats.org/officeDocument/2006/relationships/hyperlink" Target="#&apos;&#48376;&#48512;&#48324; &#54788;&#54889;&apos;!A1" TargetMode="Externa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apos;&#45824;&#49884;&#48372;&#46300;&apos;!A1" TargetMode="External"/><Relationship Id="rId2" Type="http://schemas.openxmlformats.org/officeDocument/2006/relationships/hyperlink" Target="#&apos;&#49324;&#50629; DB&apos;!A1" TargetMode="External"/><Relationship Id="rId3" Type="http://schemas.openxmlformats.org/officeDocument/2006/relationships/hyperlink" Target="#&apos;&#49888;&#44508;&#51077;&#47141; &#50504;&#45236;&apos;!A1" TargetMode="External"/><Relationship Id="rId4" Type="http://schemas.openxmlformats.org/officeDocument/2006/relationships/hyperlink" Target="#&apos;&#47112;&#51060;&#50612; &#54788;&#54889;&apos;!A1" TargetMode="External"/><Relationship Id="rId5" Type="http://schemas.openxmlformats.org/officeDocument/2006/relationships/hyperlink" Target="#&apos;&#48376;&#48512;&#48324; &#54788;&#54889;&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45824;&#49884;&#48372;&#46300;&apos;!A1" TargetMode="External"/><Relationship Id="rId2" Type="http://schemas.openxmlformats.org/officeDocument/2006/relationships/hyperlink" Target="#&apos;&#49324;&#50629; DB&apos;!A1" TargetMode="External"/><Relationship Id="rId3" Type="http://schemas.openxmlformats.org/officeDocument/2006/relationships/hyperlink" Target="#&apos;&#49888;&#44508;&#51077;&#47141; &#50504;&#45236;&apos;!A1" TargetMode="External"/><Relationship Id="rId4" Type="http://schemas.openxmlformats.org/officeDocument/2006/relationships/hyperlink" Target="#&apos;&#47112;&#51060;&#50612; &#54788;&#54889;&apos;!A1" TargetMode="External"/><Relationship Id="rId5" Type="http://schemas.openxmlformats.org/officeDocument/2006/relationships/hyperlink" Target="#&apos;&#48376;&#48512;&#48324; &#54788;&#54889;&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45824;&#49884;&#48372;&#46300;&apos;!A1" TargetMode="External"/><Relationship Id="rId2" Type="http://schemas.openxmlformats.org/officeDocument/2006/relationships/hyperlink" Target="#&apos;&#49324;&#50629; DB&apos;!A1" TargetMode="External"/><Relationship Id="rId3" Type="http://schemas.openxmlformats.org/officeDocument/2006/relationships/hyperlink" Target="#&apos;&#49888;&#44508;&#51077;&#47141; &#50504;&#45236;&apos;!A1" TargetMode="External"/><Relationship Id="rId4" Type="http://schemas.openxmlformats.org/officeDocument/2006/relationships/hyperlink" Target="#&apos;&#47112;&#51060;&#50612; &#54788;&#54889;&apos;!A1" TargetMode="External"/><Relationship Id="rId5" Type="http://schemas.openxmlformats.org/officeDocument/2006/relationships/hyperlink" Target="#&apos;&#48376;&#48512;&#48324; &#54788;&#54889;&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L22"/>
  <sheetViews>
    <sheetView workbookViewId="0" showGridLines="0"/>
  </sheetViews>
  <sheetFormatPr defaultRowHeight="20" outlineLevelRow="0" outlineLevelCol="0" x14ac:dyDescent="55" customHeight="1"/>
  <cols>
    <col min="1" max="12" width="13" customWidth="1"/>
  </cols>
  <sheetData>
    <row r="2" spans="2:12" x14ac:dyDescent="0.25">
      <c r="B2" s="1" t="s">
        <v>0</v>
      </c>
      <c r="C2" s="1"/>
      <c r="D2" s="1"/>
      <c r="E2" s="1"/>
      <c r="F2" s="1"/>
      <c r="G2" s="1"/>
      <c r="H2" s="1"/>
      <c r="I2" s="1"/>
      <c r="J2" s="1"/>
      <c r="K2" s="1"/>
      <c r="L2" s="1"/>
    </row>
    <row r="3" spans="2:12" x14ac:dyDescent="0.25">
      <c r="B3" s="1"/>
      <c r="C3" s="1"/>
      <c r="D3" s="1"/>
      <c r="E3" s="1"/>
      <c r="F3" s="1"/>
      <c r="G3" s="1"/>
      <c r="H3" s="1"/>
      <c r="I3" s="1"/>
      <c r="J3" s="1"/>
      <c r="K3" s="1"/>
      <c r="L3" s="1"/>
    </row>
    <row r="4" spans="2:12" x14ac:dyDescent="0.25">
      <c r="B4" s="2" t="s">
        <v>1</v>
      </c>
      <c r="C4" s="2"/>
      <c r="D4" s="2"/>
      <c r="E4" s="2"/>
      <c r="F4" s="2"/>
      <c r="G4" s="2"/>
      <c r="H4" s="2"/>
      <c r="I4" s="2"/>
      <c r="J4" s="2"/>
      <c r="K4" s="2"/>
      <c r="L4" s="2"/>
    </row>
    <row r="6" ht="25" customHeight="1" spans="2:11" x14ac:dyDescent="0.25">
      <c r="B6" s="3" t="s">
        <v>2</v>
      </c>
      <c r="C6" s="3"/>
      <c r="D6" s="3" t="s">
        <v>3</v>
      </c>
      <c r="E6" s="3"/>
      <c r="F6" s="3" t="s">
        <v>4</v>
      </c>
      <c r="G6" s="3"/>
      <c r="H6" s="3" t="s">
        <v>5</v>
      </c>
      <c r="I6" s="3"/>
      <c r="J6" s="3" t="s">
        <v>6</v>
      </c>
      <c r="K6" s="3"/>
    </row>
    <row r="7" spans="2:2" x14ac:dyDescent="0.25">
      <c r="B7" s="4" t="s">
        <v>7</v>
      </c>
    </row>
    <row r="8" spans="2:10" x14ac:dyDescent="0.25">
      <c r="B8" s="5" t="s">
        <v>8</v>
      </c>
      <c r="C8" s="5"/>
      <c r="D8" s="5"/>
      <c r="E8" s="5" t="s">
        <v>9</v>
      </c>
      <c r="F8" s="5"/>
      <c r="G8" s="5"/>
      <c r="H8" s="5" t="s">
        <v>10</v>
      </c>
      <c r="I8" s="5"/>
      <c r="J8" s="5"/>
    </row>
    <row r="9" spans="2:10" x14ac:dyDescent="0.25">
      <c r="B9" s="6">
        <f>COUNTIF(사업DB[사업코드],"?*")</f>
      </c>
      <c r="C9" s="6"/>
      <c r="D9" s="6"/>
      <c r="E9" s="6">
        <f>SUM(사업DB[2026년 예산(백만원)])</f>
      </c>
      <c r="F9" s="6"/>
      <c r="G9" s="6"/>
      <c r="H9" s="6">
        <f>COUNTIF('레이어 현황'!C9:C17,"&gt;0")</f>
      </c>
      <c r="I9" s="6"/>
      <c r="J9" s="6"/>
    </row>
    <row r="10" spans="2:10" x14ac:dyDescent="0.25">
      <c r="B10" s="6"/>
      <c r="C10" s="6"/>
      <c r="D10" s="6"/>
      <c r="E10" s="6"/>
      <c r="F10" s="6"/>
      <c r="G10" s="6"/>
      <c r="H10" s="6"/>
      <c r="I10" s="6"/>
      <c r="J10" s="6"/>
    </row>
    <row r="12" spans="2:2" x14ac:dyDescent="0.25">
      <c r="B12" s="4" t="s">
        <v>11</v>
      </c>
    </row>
    <row r="13" spans="2:7" x14ac:dyDescent="0.25">
      <c r="B13" t="s">
        <v>12</v>
      </c>
      <c r="E13" t="s">
        <v>13</v>
      </c>
      <c r="G13" t="s">
        <v>14</v>
      </c>
    </row>
    <row r="14" spans="2:10" x14ac:dyDescent="0.25">
      <c r="B14" s="7" t="s">
        <v>15</v>
      </c>
      <c r="C14" s="7"/>
      <c r="D14" s="7"/>
      <c r="E14" s="7">
        <f>COUNTIF(사업DB[레이어],B14)</f>
      </c>
      <c r="F14" s="7"/>
      <c r="G14" s="8">
        <f>SUMIF(사업DB[레이어],B14,사업DB[2026년 예산(백만원)])</f>
      </c>
      <c r="H14" s="8"/>
      <c r="I14" s="8"/>
      <c r="J14" s="8"/>
    </row>
    <row r="15" spans="2:10" x14ac:dyDescent="0.25">
      <c r="B15" s="7" t="s">
        <v>16</v>
      </c>
      <c r="C15" s="7"/>
      <c r="D15" s="7"/>
      <c r="E15" s="7">
        <f>COUNTIF(사업DB[레이어],B15)</f>
      </c>
      <c r="F15" s="7"/>
      <c r="G15" s="8">
        <f>SUMIF(사업DB[레이어],B15,사업DB[2026년 예산(백만원)])</f>
      </c>
      <c r="H15" s="8"/>
      <c r="I15" s="8"/>
      <c r="J15" s="8"/>
    </row>
    <row r="16" spans="2:10" x14ac:dyDescent="0.25">
      <c r="B16" s="7" t="s">
        <v>17</v>
      </c>
      <c r="C16" s="7"/>
      <c r="D16" s="7"/>
      <c r="E16" s="7">
        <f>COUNTIF(사업DB[레이어],B16)</f>
      </c>
      <c r="F16" s="7"/>
      <c r="G16" s="8">
        <f>SUMIF(사업DB[레이어],B16,사업DB[2026년 예산(백만원)])</f>
      </c>
      <c r="H16" s="8"/>
      <c r="I16" s="8"/>
      <c r="J16" s="8"/>
    </row>
    <row r="17" spans="2:10" x14ac:dyDescent="0.25">
      <c r="B17" s="7" t="s">
        <v>18</v>
      </c>
      <c r="C17" s="7"/>
      <c r="D17" s="7"/>
      <c r="E17" s="7">
        <f>COUNTIF(사업DB[레이어],B17)</f>
      </c>
      <c r="F17" s="7"/>
      <c r="G17" s="8">
        <f>SUMIF(사업DB[레이어],B17,사업DB[2026년 예산(백만원)])</f>
      </c>
      <c r="H17" s="8"/>
      <c r="I17" s="8"/>
      <c r="J17" s="8"/>
    </row>
    <row r="18" spans="2:10" x14ac:dyDescent="0.25">
      <c r="B18" s="7" t="s">
        <v>19</v>
      </c>
      <c r="C18" s="7"/>
      <c r="D18" s="7"/>
      <c r="E18" s="7">
        <f>COUNTIF(사업DB[레이어],B18)</f>
      </c>
      <c r="F18" s="7"/>
      <c r="G18" s="8">
        <f>SUMIF(사업DB[레이어],B18,사업DB[2026년 예산(백만원)])</f>
      </c>
      <c r="H18" s="8"/>
      <c r="I18" s="8"/>
      <c r="J18" s="8"/>
    </row>
    <row r="19" spans="2:10" x14ac:dyDescent="0.25">
      <c r="B19" s="7" t="s">
        <v>20</v>
      </c>
      <c r="C19" s="7"/>
      <c r="D19" s="7"/>
      <c r="E19" s="7">
        <f>COUNTIF(사업DB[레이어],B19)</f>
      </c>
      <c r="F19" s="7"/>
      <c r="G19" s="8">
        <f>SUMIF(사업DB[레이어],B19,사업DB[2026년 예산(백만원)])</f>
      </c>
      <c r="H19" s="8"/>
      <c r="I19" s="8"/>
      <c r="J19" s="8"/>
    </row>
    <row r="20" spans="2:10" x14ac:dyDescent="0.25">
      <c r="B20" s="7" t="s">
        <v>21</v>
      </c>
      <c r="C20" s="7"/>
      <c r="D20" s="7"/>
      <c r="E20" s="7">
        <f>COUNTIF(사업DB[레이어],B20)</f>
      </c>
      <c r="F20" s="7"/>
      <c r="G20" s="8">
        <f>SUMIF(사업DB[레이어],B20,사업DB[2026년 예산(백만원)])</f>
      </c>
      <c r="H20" s="8"/>
      <c r="I20" s="8"/>
      <c r="J20" s="8"/>
    </row>
    <row r="21" spans="2:10" x14ac:dyDescent="0.25">
      <c r="B21" s="7" t="s">
        <v>22</v>
      </c>
      <c r="C21" s="7"/>
      <c r="D21" s="7"/>
      <c r="E21" s="7">
        <f>COUNTIF(사업DB[레이어],B21)</f>
      </c>
      <c r="F21" s="7"/>
      <c r="G21" s="8">
        <f>SUMIF(사업DB[레이어],B21,사업DB[2026년 예산(백만원)])</f>
      </c>
      <c r="H21" s="8"/>
      <c r="I21" s="8"/>
      <c r="J21" s="8"/>
    </row>
    <row r="22" spans="2:10" x14ac:dyDescent="0.25">
      <c r="B22" s="7" t="s">
        <v>23</v>
      </c>
      <c r="C22" s="7"/>
      <c r="D22" s="7"/>
      <c r="E22" s="7">
        <f>COUNTIF(사업DB[레이어],B22)</f>
      </c>
      <c r="F22" s="7"/>
      <c r="G22" s="8">
        <f>SUMIF(사업DB[레이어],B22,사업DB[2026년 예산(백만원)])</f>
      </c>
      <c r="H22" s="8"/>
      <c r="I22" s="8"/>
      <c r="J22" s="8"/>
    </row>
  </sheetData>
  <mergeCells count="40">
    <mergeCell ref="B2:L3"/>
    <mergeCell ref="B4:L4"/>
    <mergeCell ref="B6:C6"/>
    <mergeCell ref="D6:E6"/>
    <mergeCell ref="F6:G6"/>
    <mergeCell ref="H6:I6"/>
    <mergeCell ref="J6:K6"/>
    <mergeCell ref="B8:D8"/>
    <mergeCell ref="E8:G8"/>
    <mergeCell ref="H8:J8"/>
    <mergeCell ref="B9:D10"/>
    <mergeCell ref="E9:G10"/>
    <mergeCell ref="H9:J10"/>
    <mergeCell ref="B14:D14"/>
    <mergeCell ref="E14:F14"/>
    <mergeCell ref="G14:J14"/>
    <mergeCell ref="B15:D15"/>
    <mergeCell ref="E15:F15"/>
    <mergeCell ref="G15:J15"/>
    <mergeCell ref="B16:D16"/>
    <mergeCell ref="E16:F16"/>
    <mergeCell ref="G16:J16"/>
    <mergeCell ref="B17:D17"/>
    <mergeCell ref="E17:F17"/>
    <mergeCell ref="G17:J17"/>
    <mergeCell ref="B18:D18"/>
    <mergeCell ref="E18:F18"/>
    <mergeCell ref="G18:J18"/>
    <mergeCell ref="B19:D19"/>
    <mergeCell ref="E19:F19"/>
    <mergeCell ref="G19:J19"/>
    <mergeCell ref="B20:D20"/>
    <mergeCell ref="E20:F20"/>
    <mergeCell ref="G20:J20"/>
    <mergeCell ref="B21:D21"/>
    <mergeCell ref="E21:F21"/>
    <mergeCell ref="G21:J21"/>
    <mergeCell ref="B22:D22"/>
    <mergeCell ref="E22:F22"/>
    <mergeCell ref="G22:J22"/>
  </mergeCells>
  <conditionalFormatting sqref="G14:G22">
    <cfRule type="colorScale" priority="1">
      <colorScale>
        <cfvo type="min"/>
        <cfvo type="max"/>
        <color rgb="FFFFFFFF"/>
        <color rgb="FF7CB5E8"/>
      </colorScale>
    </cfRule>
  </conditionalFormatting>
  <hyperlinks>
    <hyperlink ref="B6" r:id="rId1" location="#'대시보드'!A1"/>
    <hyperlink ref="D6" r:id="rId2" location="#'사업 DB'!A1"/>
    <hyperlink ref="F6" r:id="rId3" location="#'신규입력 안내'!A1"/>
    <hyperlink ref="H6" r:id="rId4" location="#'레이어 현황'!A1"/>
    <hyperlink ref="J6" r:id="rId5" location="#'본부별 현황'!A1"/>
  </hyperlinks>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54"/>
  <sheetViews>
    <sheetView workbookViewId="0">
      <pane xSplit="4" ySplit="8" topLeftCell="E9" activePane="bottomRight" state="frozen"/>
      <selection pane="bottomRight"/>
    </sheetView>
  </sheetViews>
  <sheetFormatPr defaultRowHeight="20" outlineLevelRow="0" outlineLevelCol="0" x14ac:dyDescent="55" customHeight="1"/>
  <cols>
    <col min="1" max="1" width="7" customWidth="1"/>
    <col min="2" max="2" width="30" customWidth="1"/>
    <col min="3" max="3" width="35" customWidth="1"/>
    <col min="4" max="4" width="13" customWidth="1"/>
    <col min="5" max="5" width="12" customWidth="1"/>
    <col min="6" max="6" width="20" customWidth="1"/>
    <col min="7" max="7" width="48" customWidth="1"/>
    <col min="8" max="8" width="22" customWidth="1"/>
    <col min="9" max="9" width="20" customWidth="1"/>
    <col min="10" max="10" width="45" customWidth="1"/>
    <col min="11" max="12" width="55" customWidth="1"/>
  </cols>
  <sheetData>
    <row r="2" spans="2:12" x14ac:dyDescent="0.25">
      <c r="B2" s="1" t="s">
        <v>24</v>
      </c>
      <c r="C2" s="1"/>
      <c r="D2" s="1"/>
      <c r="E2" s="1"/>
      <c r="F2" s="1"/>
      <c r="G2" s="1"/>
      <c r="H2" s="1"/>
      <c r="I2" s="1"/>
      <c r="J2" s="1"/>
      <c r="K2" s="1"/>
      <c r="L2" s="1"/>
    </row>
    <row r="3" spans="2:12" x14ac:dyDescent="0.25">
      <c r="B3" s="1"/>
      <c r="C3" s="1"/>
      <c r="D3" s="1"/>
      <c r="E3" s="1"/>
      <c r="F3" s="1"/>
      <c r="G3" s="1"/>
      <c r="H3" s="1"/>
      <c r="I3" s="1"/>
      <c r="J3" s="1"/>
      <c r="K3" s="1"/>
      <c r="L3" s="1"/>
    </row>
    <row r="4" spans="2:12" x14ac:dyDescent="0.25">
      <c r="B4" s="2" t="s">
        <v>25</v>
      </c>
      <c r="C4" s="2"/>
      <c r="D4" s="2"/>
      <c r="E4" s="2"/>
      <c r="F4" s="2"/>
      <c r="G4" s="2"/>
      <c r="H4" s="2"/>
      <c r="I4" s="2"/>
      <c r="J4" s="2"/>
      <c r="K4" s="2"/>
      <c r="L4" s="2"/>
    </row>
    <row r="6" ht="25" customHeight="1" spans="2:11" x14ac:dyDescent="0.25">
      <c r="B6" s="3" t="s">
        <v>2</v>
      </c>
      <c r="C6" s="3"/>
      <c r="D6" s="3" t="s">
        <v>3</v>
      </c>
      <c r="E6" s="3"/>
      <c r="F6" s="3" t="s">
        <v>4</v>
      </c>
      <c r="G6" s="3"/>
      <c r="H6" s="3" t="s">
        <v>5</v>
      </c>
      <c r="I6" s="3"/>
      <c r="J6" s="3" t="s">
        <v>6</v>
      </c>
      <c r="K6" s="3"/>
    </row>
    <row r="8" ht="32" customHeight="1" spans="1:12" s="9" customFormat="1" x14ac:dyDescent="0.25">
      <c r="A8" s="9" t="s">
        <v>26</v>
      </c>
      <c r="B8" s="9" t="s">
        <v>27</v>
      </c>
      <c r="C8" s="9" t="s">
        <v>28</v>
      </c>
      <c r="D8" s="9" t="s">
        <v>29</v>
      </c>
      <c r="E8" s="9" t="s">
        <v>30</v>
      </c>
      <c r="F8" s="9" t="s">
        <v>12</v>
      </c>
      <c r="G8" s="9" t="s">
        <v>31</v>
      </c>
      <c r="H8" s="9" t="s">
        <v>32</v>
      </c>
      <c r="I8" s="9" t="s">
        <v>33</v>
      </c>
      <c r="J8" s="9" t="s">
        <v>34</v>
      </c>
      <c r="K8" s="9" t="s">
        <v>35</v>
      </c>
      <c r="L8" s="9" t="s">
        <v>36</v>
      </c>
    </row>
    <row r="9" ht="42" customHeight="1" spans="1:12" x14ac:dyDescent="0.25">
      <c r="A9" s="10" t="s">
        <v>37</v>
      </c>
      <c r="B9" s="10" t="s">
        <v>38</v>
      </c>
      <c r="C9" s="10" t="s">
        <v>39</v>
      </c>
      <c r="D9" s="10" t="s">
        <v>40</v>
      </c>
      <c r="E9" s="10" t="s">
        <v>41</v>
      </c>
      <c r="F9" s="10" t="s">
        <v>15</v>
      </c>
      <c r="G9" s="11" t="s">
        <v>42</v>
      </c>
      <c r="H9" s="11" t="s">
        <v>43</v>
      </c>
      <c r="I9" s="12">
        <v>1399875</v>
      </c>
      <c r="J9" s="11" t="s">
        <v>44</v>
      </c>
      <c r="K9" s="11" t="s">
        <v>45</v>
      </c>
      <c r="L9" s="11" t="s">
        <v>46</v>
      </c>
    </row>
    <row r="10" ht="42" customHeight="1" spans="1:12" x14ac:dyDescent="0.25">
      <c r="A10" s="10" t="s">
        <v>37</v>
      </c>
      <c r="B10" s="10" t="s">
        <v>47</v>
      </c>
      <c r="C10" s="10" t="s">
        <v>39</v>
      </c>
      <c r="D10" s="10" t="s">
        <v>40</v>
      </c>
      <c r="E10" s="10" t="s">
        <v>41</v>
      </c>
      <c r="F10" s="10" t="s">
        <v>15</v>
      </c>
      <c r="G10" s="11" t="s">
        <v>42</v>
      </c>
      <c r="H10" s="11" t="s">
        <v>43</v>
      </c>
      <c r="I10" s="12">
        <v>683250</v>
      </c>
      <c r="J10" s="11" t="s">
        <v>44</v>
      </c>
      <c r="K10" s="11" t="s">
        <v>44</v>
      </c>
      <c r="L10" s="11" t="s">
        <v>48</v>
      </c>
    </row>
    <row r="11" ht="42" customHeight="1" spans="1:12" x14ac:dyDescent="0.25">
      <c r="A11" s="10" t="s">
        <v>37</v>
      </c>
      <c r="B11" s="10" t="s">
        <v>49</v>
      </c>
      <c r="C11" s="10" t="s">
        <v>49</v>
      </c>
      <c r="D11" s="10" t="s">
        <v>50</v>
      </c>
      <c r="E11" s="10" t="s">
        <v>41</v>
      </c>
      <c r="F11" s="10" t="s">
        <v>16</v>
      </c>
      <c r="G11" s="11" t="s">
        <v>51</v>
      </c>
      <c r="H11" s="11" t="s">
        <v>52</v>
      </c>
      <c r="I11" s="12">
        <v>113370</v>
      </c>
      <c r="J11" s="11" t="s">
        <v>53</v>
      </c>
      <c r="K11" s="11" t="s">
        <v>54</v>
      </c>
      <c r="L11" s="11" t="s">
        <v>55</v>
      </c>
    </row>
    <row r="12" ht="42" customHeight="1" spans="1:12" x14ac:dyDescent="0.25">
      <c r="A12" s="10" t="s">
        <v>37</v>
      </c>
      <c r="B12" s="10" t="s">
        <v>56</v>
      </c>
      <c r="C12" s="10" t="s">
        <v>56</v>
      </c>
      <c r="D12" s="10" t="s">
        <v>57</v>
      </c>
      <c r="E12" s="10" t="s">
        <v>58</v>
      </c>
      <c r="F12" s="10" t="s">
        <v>19</v>
      </c>
      <c r="G12" s="11" t="s">
        <v>59</v>
      </c>
      <c r="H12" s="11" t="s">
        <v>60</v>
      </c>
      <c r="I12" s="12">
        <v>76666</v>
      </c>
      <c r="J12" s="11" t="s">
        <v>61</v>
      </c>
      <c r="K12" s="11" t="s">
        <v>62</v>
      </c>
      <c r="L12" s="11" t="s">
        <v>63</v>
      </c>
    </row>
    <row r="13" ht="42" customHeight="1" spans="1:12" x14ac:dyDescent="0.25">
      <c r="A13" s="10" t="s">
        <v>37</v>
      </c>
      <c r="B13" s="10" t="s">
        <v>64</v>
      </c>
      <c r="C13" s="10" t="s">
        <v>64</v>
      </c>
      <c r="D13" s="10" t="s">
        <v>65</v>
      </c>
      <c r="E13" s="10" t="s">
        <v>58</v>
      </c>
      <c r="F13" s="10" t="s">
        <v>19</v>
      </c>
      <c r="G13" s="11" t="s">
        <v>59</v>
      </c>
      <c r="H13" s="11" t="s">
        <v>60</v>
      </c>
      <c r="I13" s="12">
        <v>66666</v>
      </c>
      <c r="J13" s="11" t="s">
        <v>66</v>
      </c>
      <c r="K13" s="11" t="s">
        <v>67</v>
      </c>
      <c r="L13" s="11" t="s">
        <v>68</v>
      </c>
    </row>
    <row r="14" ht="42" customHeight="1" spans="1:12" x14ac:dyDescent="0.25">
      <c r="A14" s="10" t="s">
        <v>37</v>
      </c>
      <c r="B14" s="10" t="s">
        <v>69</v>
      </c>
      <c r="C14" s="10" t="s">
        <v>70</v>
      </c>
      <c r="D14" s="10" t="s">
        <v>71</v>
      </c>
      <c r="E14" s="10" t="s">
        <v>41</v>
      </c>
      <c r="F14" s="10" t="s">
        <v>17</v>
      </c>
      <c r="G14" s="11" t="s">
        <v>72</v>
      </c>
      <c r="H14" s="11" t="s">
        <v>73</v>
      </c>
      <c r="I14" s="12">
        <v>60000</v>
      </c>
      <c r="J14" s="11" t="s">
        <v>74</v>
      </c>
      <c r="K14" s="11" t="s">
        <v>74</v>
      </c>
      <c r="L14" s="11" t="s">
        <v>75</v>
      </c>
    </row>
    <row r="15" ht="42" customHeight="1" spans="1:12" x14ac:dyDescent="0.25">
      <c r="A15" s="10" t="s">
        <v>37</v>
      </c>
      <c r="B15" s="10" t="s">
        <v>76</v>
      </c>
      <c r="C15" s="10" t="s">
        <v>76</v>
      </c>
      <c r="D15" s="10" t="s">
        <v>77</v>
      </c>
      <c r="E15" s="10" t="s">
        <v>58</v>
      </c>
      <c r="F15" s="10" t="s">
        <v>18</v>
      </c>
      <c r="G15" s="11" t="s">
        <v>78</v>
      </c>
      <c r="H15" s="11" t="s">
        <v>79</v>
      </c>
      <c r="I15" s="12">
        <v>56740</v>
      </c>
      <c r="J15" s="11" t="s">
        <v>80</v>
      </c>
      <c r="K15" s="11" t="s">
        <v>81</v>
      </c>
      <c r="L15" s="11" t="s">
        <v>82</v>
      </c>
    </row>
    <row r="16" ht="42" customHeight="1" spans="1:12" x14ac:dyDescent="0.25">
      <c r="A16" s="10" t="s">
        <v>37</v>
      </c>
      <c r="B16" s="10" t="s">
        <v>83</v>
      </c>
      <c r="C16" s="10" t="s">
        <v>83</v>
      </c>
      <c r="D16" s="10" t="s">
        <v>84</v>
      </c>
      <c r="E16" s="10" t="s">
        <v>41</v>
      </c>
      <c r="F16" s="10" t="s">
        <v>20</v>
      </c>
      <c r="G16" s="11" t="s">
        <v>85</v>
      </c>
      <c r="H16" s="11" t="s">
        <v>57</v>
      </c>
      <c r="I16" s="12">
        <v>45150</v>
      </c>
      <c r="J16" s="11" t="s">
        <v>86</v>
      </c>
      <c r="K16" s="11" t="s">
        <v>87</v>
      </c>
      <c r="L16" s="11" t="s">
        <v>88</v>
      </c>
    </row>
    <row r="17" ht="42" customHeight="1" spans="1:12" x14ac:dyDescent="0.25">
      <c r="A17" s="10" t="s">
        <v>37</v>
      </c>
      <c r="B17" s="10" t="s">
        <v>89</v>
      </c>
      <c r="C17" s="10" t="s">
        <v>89</v>
      </c>
      <c r="D17" s="10" t="s">
        <v>90</v>
      </c>
      <c r="E17" s="10" t="s">
        <v>41</v>
      </c>
      <c r="F17" s="10" t="s">
        <v>23</v>
      </c>
      <c r="G17" s="11" t="s">
        <v>91</v>
      </c>
      <c r="H17" s="11" t="s">
        <v>92</v>
      </c>
      <c r="I17" s="12">
        <v>37401</v>
      </c>
      <c r="J17" s="11" t="s">
        <v>93</v>
      </c>
      <c r="K17" s="11" t="s">
        <v>94</v>
      </c>
      <c r="L17" s="11" t="s">
        <v>95</v>
      </c>
    </row>
    <row r="18" ht="42" customHeight="1" spans="1:12" x14ac:dyDescent="0.25">
      <c r="A18" s="10" t="s">
        <v>37</v>
      </c>
      <c r="B18" s="10" t="s">
        <v>96</v>
      </c>
      <c r="C18" s="10" t="s">
        <v>96</v>
      </c>
      <c r="D18" s="10" t="s">
        <v>97</v>
      </c>
      <c r="E18" s="10" t="s">
        <v>41</v>
      </c>
      <c r="F18" s="10" t="s">
        <v>17</v>
      </c>
      <c r="G18" s="11" t="s">
        <v>98</v>
      </c>
      <c r="H18" s="11" t="s">
        <v>73</v>
      </c>
      <c r="I18" s="12">
        <v>30166</v>
      </c>
      <c r="J18" s="11" t="s">
        <v>99</v>
      </c>
      <c r="K18" s="11" t="s">
        <v>100</v>
      </c>
      <c r="L18" s="11" t="s">
        <v>101</v>
      </c>
    </row>
    <row r="19" ht="42" customHeight="1" spans="1:12" x14ac:dyDescent="0.25">
      <c r="A19" s="10" t="s">
        <v>37</v>
      </c>
      <c r="B19" s="10" t="s">
        <v>102</v>
      </c>
      <c r="C19" s="10" t="s">
        <v>102</v>
      </c>
      <c r="D19" s="10" t="s">
        <v>103</v>
      </c>
      <c r="E19" s="10" t="s">
        <v>104</v>
      </c>
      <c r="F19" s="10" t="s">
        <v>22</v>
      </c>
      <c r="G19" s="11" t="s">
        <v>105</v>
      </c>
      <c r="H19" s="11" t="s">
        <v>106</v>
      </c>
      <c r="I19" s="12">
        <v>29378</v>
      </c>
      <c r="J19" s="11" t="s">
        <v>107</v>
      </c>
      <c r="K19" s="11" t="s">
        <v>107</v>
      </c>
      <c r="L19" s="11" t="s">
        <v>108</v>
      </c>
    </row>
    <row r="20" ht="42" customHeight="1" spans="1:12" x14ac:dyDescent="0.25">
      <c r="A20" s="10" t="s">
        <v>37</v>
      </c>
      <c r="B20" s="10" t="s">
        <v>109</v>
      </c>
      <c r="C20" s="10" t="s">
        <v>109</v>
      </c>
      <c r="D20" s="10" t="s">
        <v>110</v>
      </c>
      <c r="E20" s="10" t="s">
        <v>41</v>
      </c>
      <c r="F20" s="10" t="s">
        <v>22</v>
      </c>
      <c r="G20" s="11" t="s">
        <v>111</v>
      </c>
      <c r="H20" s="11" t="s">
        <v>52</v>
      </c>
      <c r="I20" s="12">
        <v>25500</v>
      </c>
      <c r="J20" s="11" t="s">
        <v>112</v>
      </c>
      <c r="K20" s="11" t="s">
        <v>113</v>
      </c>
      <c r="L20" s="11" t="s">
        <v>114</v>
      </c>
    </row>
    <row r="21" ht="42" customHeight="1" spans="1:12" x14ac:dyDescent="0.25">
      <c r="A21" s="10" t="s">
        <v>37</v>
      </c>
      <c r="B21" s="10" t="s">
        <v>115</v>
      </c>
      <c r="C21" s="10" t="s">
        <v>115</v>
      </c>
      <c r="D21" s="10" t="s">
        <v>116</v>
      </c>
      <c r="E21" s="10" t="s">
        <v>58</v>
      </c>
      <c r="F21" s="10" t="s">
        <v>15</v>
      </c>
      <c r="G21" s="11" t="s">
        <v>117</v>
      </c>
      <c r="H21" s="11" t="s">
        <v>60</v>
      </c>
      <c r="I21" s="12">
        <v>22623</v>
      </c>
      <c r="J21" s="11" t="s">
        <v>118</v>
      </c>
      <c r="K21" s="11" t="s">
        <v>119</v>
      </c>
      <c r="L21" s="11" t="s">
        <v>120</v>
      </c>
    </row>
    <row r="22" ht="42" customHeight="1" spans="1:12" x14ac:dyDescent="0.25">
      <c r="A22" s="10" t="s">
        <v>37</v>
      </c>
      <c r="B22" s="10" t="s">
        <v>121</v>
      </c>
      <c r="C22" s="10" t="s">
        <v>122</v>
      </c>
      <c r="D22" s="10" t="s">
        <v>123</v>
      </c>
      <c r="E22" s="10" t="s">
        <v>104</v>
      </c>
      <c r="F22" s="10" t="s">
        <v>17</v>
      </c>
      <c r="G22" s="11" t="s">
        <v>72</v>
      </c>
      <c r="H22" s="11" t="s">
        <v>73</v>
      </c>
      <c r="I22" s="12">
        <v>20000</v>
      </c>
      <c r="J22" s="11" t="s">
        <v>124</v>
      </c>
      <c r="K22" s="11" t="s">
        <v>124</v>
      </c>
      <c r="L22" s="11" t="s">
        <v>125</v>
      </c>
    </row>
    <row r="23" ht="42" customHeight="1" spans="1:12" x14ac:dyDescent="0.25">
      <c r="A23" s="10" t="s">
        <v>37</v>
      </c>
      <c r="B23" s="10" t="s">
        <v>126</v>
      </c>
      <c r="C23" s="10" t="s">
        <v>127</v>
      </c>
      <c r="D23" s="10" t="s">
        <v>128</v>
      </c>
      <c r="E23" s="10" t="s">
        <v>58</v>
      </c>
      <c r="F23" s="10" t="s">
        <v>15</v>
      </c>
      <c r="G23" s="11" t="s">
        <v>117</v>
      </c>
      <c r="H23" s="11" t="s">
        <v>60</v>
      </c>
      <c r="I23" s="12">
        <v>19151</v>
      </c>
      <c r="J23" s="11" t="s">
        <v>129</v>
      </c>
      <c r="K23" s="11" t="s">
        <v>129</v>
      </c>
      <c r="L23" s="11" t="s">
        <v>130</v>
      </c>
    </row>
    <row r="24" ht="42" customHeight="1" spans="1:12" x14ac:dyDescent="0.25">
      <c r="A24" s="10" t="s">
        <v>37</v>
      </c>
      <c r="B24" s="10" t="s">
        <v>131</v>
      </c>
      <c r="C24" s="10" t="s">
        <v>132</v>
      </c>
      <c r="D24" s="10" t="s">
        <v>133</v>
      </c>
      <c r="E24" s="10" t="s">
        <v>104</v>
      </c>
      <c r="F24" s="10" t="s">
        <v>15</v>
      </c>
      <c r="G24" s="11" t="s">
        <v>134</v>
      </c>
      <c r="H24" s="11" t="s">
        <v>43</v>
      </c>
      <c r="I24" s="12">
        <v>18000</v>
      </c>
      <c r="J24" s="11" t="s">
        <v>135</v>
      </c>
      <c r="K24" s="11" t="s">
        <v>136</v>
      </c>
      <c r="L24" s="11" t="s">
        <v>137</v>
      </c>
    </row>
    <row r="25" ht="42" customHeight="1" spans="1:12" x14ac:dyDescent="0.25">
      <c r="A25" s="10" t="s">
        <v>37</v>
      </c>
      <c r="B25" s="10" t="s">
        <v>138</v>
      </c>
      <c r="C25" s="10" t="s">
        <v>138</v>
      </c>
      <c r="D25" s="10" t="s">
        <v>139</v>
      </c>
      <c r="E25" s="10" t="s">
        <v>41</v>
      </c>
      <c r="F25" s="10" t="s">
        <v>21</v>
      </c>
      <c r="G25" s="11" t="s">
        <v>78</v>
      </c>
      <c r="H25" s="11" t="s">
        <v>79</v>
      </c>
      <c r="I25" s="12">
        <v>13000</v>
      </c>
      <c r="J25" s="11" t="s">
        <v>140</v>
      </c>
      <c r="K25" s="11" t="s">
        <v>141</v>
      </c>
      <c r="L25" s="11" t="s">
        <v>142</v>
      </c>
    </row>
    <row r="26" ht="42" customHeight="1" spans="1:12" x14ac:dyDescent="0.25">
      <c r="A26" s="10" t="s">
        <v>37</v>
      </c>
      <c r="B26" s="10" t="s">
        <v>143</v>
      </c>
      <c r="C26" s="10" t="s">
        <v>143</v>
      </c>
      <c r="D26" s="10" t="s">
        <v>144</v>
      </c>
      <c r="E26" s="10" t="s">
        <v>41</v>
      </c>
      <c r="F26" s="10" t="s">
        <v>22</v>
      </c>
      <c r="G26" s="11" t="s">
        <v>98</v>
      </c>
      <c r="H26" s="11" t="s">
        <v>73</v>
      </c>
      <c r="I26" s="12">
        <v>12650</v>
      </c>
      <c r="J26" s="11" t="s">
        <v>145</v>
      </c>
      <c r="K26" s="11" t="s">
        <v>146</v>
      </c>
      <c r="L26" s="11" t="s">
        <v>147</v>
      </c>
    </row>
    <row r="27" ht="42" customHeight="1" spans="1:12" x14ac:dyDescent="0.25">
      <c r="A27" s="10" t="s">
        <v>37</v>
      </c>
      <c r="B27" s="10" t="s">
        <v>148</v>
      </c>
      <c r="C27" s="10" t="s">
        <v>149</v>
      </c>
      <c r="D27" s="10" t="s">
        <v>150</v>
      </c>
      <c r="E27" s="10" t="s">
        <v>104</v>
      </c>
      <c r="F27" s="10" t="s">
        <v>21</v>
      </c>
      <c r="G27" s="11" t="s">
        <v>151</v>
      </c>
      <c r="H27" s="11" t="s">
        <v>152</v>
      </c>
      <c r="I27" s="12">
        <v>11122</v>
      </c>
      <c r="J27" s="11" t="s">
        <v>153</v>
      </c>
      <c r="K27" s="11" t="s">
        <v>153</v>
      </c>
      <c r="L27" s="11" t="s">
        <v>154</v>
      </c>
    </row>
    <row r="28" ht="42" customHeight="1" spans="1:12" x14ac:dyDescent="0.25">
      <c r="A28" s="10" t="s">
        <v>37</v>
      </c>
      <c r="B28" s="10" t="s">
        <v>155</v>
      </c>
      <c r="C28" s="10" t="s">
        <v>155</v>
      </c>
      <c r="D28" s="10" t="s">
        <v>156</v>
      </c>
      <c r="E28" s="10" t="s">
        <v>58</v>
      </c>
      <c r="F28" s="10" t="s">
        <v>19</v>
      </c>
      <c r="G28" s="11" t="s">
        <v>117</v>
      </c>
      <c r="H28" s="11" t="s">
        <v>60</v>
      </c>
      <c r="I28" s="12">
        <v>11020</v>
      </c>
      <c r="J28" s="11" t="s">
        <v>157</v>
      </c>
      <c r="K28" s="11" t="s">
        <v>158</v>
      </c>
      <c r="L28" s="11" t="s">
        <v>159</v>
      </c>
    </row>
    <row r="29" ht="42" customHeight="1" spans="1:12" x14ac:dyDescent="0.25">
      <c r="A29" s="10" t="s">
        <v>37</v>
      </c>
      <c r="B29" s="10" t="s">
        <v>160</v>
      </c>
      <c r="C29" s="10" t="s">
        <v>160</v>
      </c>
      <c r="D29" s="10" t="s">
        <v>161</v>
      </c>
      <c r="E29" s="10" t="s">
        <v>41</v>
      </c>
      <c r="F29" s="10" t="s">
        <v>21</v>
      </c>
      <c r="G29" s="11" t="s">
        <v>151</v>
      </c>
      <c r="H29" s="11" t="s">
        <v>106</v>
      </c>
      <c r="I29" s="12">
        <v>11000</v>
      </c>
      <c r="J29" s="11" t="s">
        <v>162</v>
      </c>
      <c r="K29" s="11" t="s">
        <v>163</v>
      </c>
      <c r="L29" s="11" t="s">
        <v>164</v>
      </c>
    </row>
    <row r="30" ht="42" customHeight="1" spans="1:12" x14ac:dyDescent="0.25">
      <c r="A30" s="10" t="s">
        <v>37</v>
      </c>
      <c r="B30" s="10" t="s">
        <v>165</v>
      </c>
      <c r="C30" s="10" t="s">
        <v>166</v>
      </c>
      <c r="D30" s="10" t="s">
        <v>167</v>
      </c>
      <c r="E30" s="10" t="s">
        <v>41</v>
      </c>
      <c r="F30" s="10" t="s">
        <v>21</v>
      </c>
      <c r="G30" s="11" t="s">
        <v>98</v>
      </c>
      <c r="H30" s="11" t="s">
        <v>152</v>
      </c>
      <c r="I30" s="12">
        <v>10500</v>
      </c>
      <c r="J30" s="11" t="s">
        <v>168</v>
      </c>
      <c r="K30" s="11" t="s">
        <v>168</v>
      </c>
      <c r="L30" s="11" t="s">
        <v>169</v>
      </c>
    </row>
    <row r="31" ht="42" customHeight="1" spans="1:12" x14ac:dyDescent="0.25">
      <c r="A31" s="10" t="s">
        <v>37</v>
      </c>
      <c r="B31" s="10" t="s">
        <v>170</v>
      </c>
      <c r="C31" s="10" t="s">
        <v>170</v>
      </c>
      <c r="D31" s="10" t="s">
        <v>171</v>
      </c>
      <c r="E31" s="10" t="s">
        <v>41</v>
      </c>
      <c r="F31" s="10" t="s">
        <v>22</v>
      </c>
      <c r="G31" s="11" t="s">
        <v>98</v>
      </c>
      <c r="H31" s="11" t="s">
        <v>73</v>
      </c>
      <c r="I31" s="12">
        <v>10400</v>
      </c>
      <c r="J31" s="11" t="s">
        <v>172</v>
      </c>
      <c r="K31" s="11" t="s">
        <v>172</v>
      </c>
      <c r="L31" s="11" t="s">
        <v>173</v>
      </c>
    </row>
    <row r="32" ht="42" customHeight="1" spans="1:12" x14ac:dyDescent="0.25">
      <c r="A32" s="10" t="s">
        <v>37</v>
      </c>
      <c r="B32" s="10" t="s">
        <v>174</v>
      </c>
      <c r="C32" s="10" t="s">
        <v>174</v>
      </c>
      <c r="D32" s="10" t="s">
        <v>175</v>
      </c>
      <c r="E32" s="10" t="s">
        <v>58</v>
      </c>
      <c r="F32" s="10" t="s">
        <v>18</v>
      </c>
      <c r="G32" s="11" t="s">
        <v>151</v>
      </c>
      <c r="H32" s="11" t="s">
        <v>60</v>
      </c>
      <c r="I32" s="12">
        <v>10300</v>
      </c>
      <c r="J32" s="11" t="s">
        <v>176</v>
      </c>
      <c r="K32" s="11" t="s">
        <v>177</v>
      </c>
      <c r="L32" s="11" t="s">
        <v>178</v>
      </c>
    </row>
    <row r="33" ht="42" customHeight="1" spans="1:12" x14ac:dyDescent="0.25">
      <c r="A33" s="10" t="s">
        <v>37</v>
      </c>
      <c r="B33" s="10" t="s">
        <v>179</v>
      </c>
      <c r="C33" s="10" t="s">
        <v>179</v>
      </c>
      <c r="D33" s="10" t="s">
        <v>180</v>
      </c>
      <c r="E33" s="10" t="s">
        <v>41</v>
      </c>
      <c r="F33" s="10" t="s">
        <v>17</v>
      </c>
      <c r="G33" s="11" t="s">
        <v>117</v>
      </c>
      <c r="H33" s="11" t="s">
        <v>73</v>
      </c>
      <c r="I33" s="12">
        <v>10000</v>
      </c>
      <c r="J33" s="11" t="s">
        <v>181</v>
      </c>
      <c r="K33" s="11" t="s">
        <v>182</v>
      </c>
      <c r="L33" s="11" t="s">
        <v>183</v>
      </c>
    </row>
    <row r="34" ht="42" customHeight="1" spans="1:12" x14ac:dyDescent="0.25">
      <c r="A34" s="10" t="s">
        <v>37</v>
      </c>
      <c r="B34" s="10" t="s">
        <v>184</v>
      </c>
      <c r="C34" s="10" t="s">
        <v>184</v>
      </c>
      <c r="D34" s="10" t="s">
        <v>185</v>
      </c>
      <c r="E34" s="10" t="s">
        <v>58</v>
      </c>
      <c r="F34" s="10" t="s">
        <v>22</v>
      </c>
      <c r="G34" s="11" t="s">
        <v>117</v>
      </c>
      <c r="H34" s="11" t="s">
        <v>73</v>
      </c>
      <c r="I34" s="12">
        <v>9900</v>
      </c>
      <c r="J34" s="11" t="s">
        <v>186</v>
      </c>
      <c r="K34" s="11" t="s">
        <v>187</v>
      </c>
      <c r="L34" s="11" t="s">
        <v>188</v>
      </c>
    </row>
    <row r="35" ht="42" customHeight="1" spans="1:12" x14ac:dyDescent="0.25">
      <c r="A35" s="10" t="s">
        <v>37</v>
      </c>
      <c r="B35" s="10" t="s">
        <v>189</v>
      </c>
      <c r="C35" s="10" t="s">
        <v>189</v>
      </c>
      <c r="D35" s="10" t="s">
        <v>190</v>
      </c>
      <c r="E35" s="10" t="s">
        <v>58</v>
      </c>
      <c r="F35" s="10" t="s">
        <v>22</v>
      </c>
      <c r="G35" s="11" t="s">
        <v>117</v>
      </c>
      <c r="H35" s="11" t="s">
        <v>60</v>
      </c>
      <c r="I35" s="12">
        <v>9875</v>
      </c>
      <c r="J35" s="11" t="s">
        <v>191</v>
      </c>
      <c r="K35" s="11" t="s">
        <v>192</v>
      </c>
      <c r="L35" s="11" t="s">
        <v>193</v>
      </c>
    </row>
    <row r="36" ht="42" customHeight="1" spans="1:12" x14ac:dyDescent="0.25">
      <c r="A36" s="10" t="s">
        <v>37</v>
      </c>
      <c r="B36" s="10" t="s">
        <v>194</v>
      </c>
      <c r="C36" s="10" t="s">
        <v>39</v>
      </c>
      <c r="D36" s="10" t="s">
        <v>40</v>
      </c>
      <c r="E36" s="10" t="s">
        <v>41</v>
      </c>
      <c r="F36" s="10" t="s">
        <v>15</v>
      </c>
      <c r="G36" s="11" t="s">
        <v>42</v>
      </c>
      <c r="H36" s="11" t="s">
        <v>43</v>
      </c>
      <c r="I36" s="12">
        <v>9600</v>
      </c>
      <c r="J36" s="11" t="s">
        <v>195</v>
      </c>
      <c r="K36" s="11" t="s">
        <v>195</v>
      </c>
      <c r="L36" s="11" t="s">
        <v>196</v>
      </c>
    </row>
    <row r="37" ht="42" customHeight="1" spans="1:12" x14ac:dyDescent="0.25">
      <c r="A37" s="10" t="s">
        <v>37</v>
      </c>
      <c r="B37" s="10" t="s">
        <v>197</v>
      </c>
      <c r="C37" s="10" t="s">
        <v>197</v>
      </c>
      <c r="D37" s="10" t="s">
        <v>198</v>
      </c>
      <c r="E37" s="10" t="s">
        <v>104</v>
      </c>
      <c r="F37" s="10" t="s">
        <v>21</v>
      </c>
      <c r="G37" s="11" t="s">
        <v>85</v>
      </c>
      <c r="H37" s="11" t="s">
        <v>152</v>
      </c>
      <c r="I37" s="12">
        <v>9104</v>
      </c>
      <c r="J37" s="11" t="s">
        <v>199</v>
      </c>
      <c r="K37" s="11" t="s">
        <v>200</v>
      </c>
      <c r="L37" s="11" t="s">
        <v>201</v>
      </c>
    </row>
    <row r="38" ht="42" customHeight="1" spans="1:12" x14ac:dyDescent="0.25">
      <c r="A38" s="10" t="s">
        <v>37</v>
      </c>
      <c r="B38" s="10" t="s">
        <v>202</v>
      </c>
      <c r="C38" s="10" t="s">
        <v>203</v>
      </c>
      <c r="D38" s="10" t="s">
        <v>204</v>
      </c>
      <c r="E38" s="10" t="s">
        <v>104</v>
      </c>
      <c r="F38" s="10" t="s">
        <v>15</v>
      </c>
      <c r="G38" s="11" t="s">
        <v>205</v>
      </c>
      <c r="H38" s="11" t="s">
        <v>43</v>
      </c>
      <c r="I38" s="12">
        <v>8993</v>
      </c>
      <c r="J38" s="11" t="s">
        <v>206</v>
      </c>
      <c r="K38" s="11" t="s">
        <v>206</v>
      </c>
      <c r="L38" s="11" t="s">
        <v>207</v>
      </c>
    </row>
    <row r="39" ht="42" customHeight="1" spans="1:12" x14ac:dyDescent="0.25">
      <c r="A39" s="10" t="s">
        <v>37</v>
      </c>
      <c r="B39" s="10" t="s">
        <v>208</v>
      </c>
      <c r="C39" s="10" t="s">
        <v>208</v>
      </c>
      <c r="D39" s="10" t="s">
        <v>209</v>
      </c>
      <c r="E39" s="10" t="s">
        <v>104</v>
      </c>
      <c r="F39" s="10" t="s">
        <v>22</v>
      </c>
      <c r="G39" s="11" t="s">
        <v>210</v>
      </c>
      <c r="H39" s="11" t="s">
        <v>52</v>
      </c>
      <c r="I39" s="12">
        <v>8796</v>
      </c>
      <c r="J39" s="11" t="s">
        <v>211</v>
      </c>
      <c r="K39" s="11" t="s">
        <v>212</v>
      </c>
      <c r="L39" s="11" t="s">
        <v>213</v>
      </c>
    </row>
    <row r="40" ht="42" customHeight="1" spans="1:12" x14ac:dyDescent="0.25">
      <c r="A40" s="10" t="s">
        <v>37</v>
      </c>
      <c r="B40" s="10" t="s">
        <v>214</v>
      </c>
      <c r="C40" s="10" t="s">
        <v>214</v>
      </c>
      <c r="D40" s="10" t="s">
        <v>215</v>
      </c>
      <c r="E40" s="10" t="s">
        <v>58</v>
      </c>
      <c r="F40" s="10" t="s">
        <v>22</v>
      </c>
      <c r="G40" s="11" t="s">
        <v>85</v>
      </c>
      <c r="H40" s="11" t="s">
        <v>52</v>
      </c>
      <c r="I40" s="12">
        <v>8459</v>
      </c>
      <c r="J40" s="11" t="s">
        <v>216</v>
      </c>
      <c r="K40" s="11" t="s">
        <v>217</v>
      </c>
      <c r="L40" s="11" t="s">
        <v>218</v>
      </c>
    </row>
    <row r="41" ht="42" customHeight="1" spans="1:12" x14ac:dyDescent="0.25">
      <c r="A41" s="10" t="s">
        <v>37</v>
      </c>
      <c r="B41" s="10" t="s">
        <v>219</v>
      </c>
      <c r="C41" s="10" t="s">
        <v>220</v>
      </c>
      <c r="D41" s="10" t="s">
        <v>221</v>
      </c>
      <c r="E41" s="10" t="s">
        <v>104</v>
      </c>
      <c r="F41" s="10" t="s">
        <v>21</v>
      </c>
      <c r="G41" s="11" t="s">
        <v>78</v>
      </c>
      <c r="H41" s="11" t="s">
        <v>79</v>
      </c>
      <c r="I41" s="12">
        <v>8400</v>
      </c>
      <c r="J41" s="11" t="s">
        <v>222</v>
      </c>
      <c r="K41" s="11" t="s">
        <v>223</v>
      </c>
      <c r="L41" s="11" t="s">
        <v>224</v>
      </c>
    </row>
    <row r="42" ht="42" customHeight="1" spans="1:12" x14ac:dyDescent="0.25">
      <c r="A42" s="10" t="s">
        <v>37</v>
      </c>
      <c r="B42" s="10" t="s">
        <v>225</v>
      </c>
      <c r="C42" s="10" t="s">
        <v>226</v>
      </c>
      <c r="D42" s="10" t="s">
        <v>227</v>
      </c>
      <c r="E42" s="10" t="s">
        <v>58</v>
      </c>
      <c r="F42" s="10" t="s">
        <v>18</v>
      </c>
      <c r="G42" s="11" t="s">
        <v>151</v>
      </c>
      <c r="H42" s="11" t="s">
        <v>60</v>
      </c>
      <c r="I42" s="12">
        <v>8030</v>
      </c>
      <c r="J42" s="11" t="s">
        <v>228</v>
      </c>
      <c r="K42" s="11" t="s">
        <v>228</v>
      </c>
      <c r="L42" s="11" t="s">
        <v>229</v>
      </c>
    </row>
    <row r="43" ht="42" customHeight="1" spans="1:12" x14ac:dyDescent="0.25">
      <c r="A43" s="10" t="s">
        <v>37</v>
      </c>
      <c r="B43" s="10" t="s">
        <v>230</v>
      </c>
      <c r="C43" s="10" t="s">
        <v>230</v>
      </c>
      <c r="D43" s="10" t="s">
        <v>231</v>
      </c>
      <c r="E43" s="10" t="s">
        <v>58</v>
      </c>
      <c r="F43" s="10" t="s">
        <v>22</v>
      </c>
      <c r="G43" s="11" t="s">
        <v>117</v>
      </c>
      <c r="H43" s="11" t="s">
        <v>60</v>
      </c>
      <c r="I43" s="12">
        <v>7200</v>
      </c>
      <c r="J43" s="11" t="s">
        <v>232</v>
      </c>
      <c r="K43" s="11" t="s">
        <v>233</v>
      </c>
      <c r="L43" s="11" t="s">
        <v>234</v>
      </c>
    </row>
    <row r="44" ht="42" customHeight="1" spans="1:12" x14ac:dyDescent="0.25">
      <c r="A44" s="10" t="s">
        <v>37</v>
      </c>
      <c r="B44" s="10" t="s">
        <v>235</v>
      </c>
      <c r="C44" s="10" t="s">
        <v>226</v>
      </c>
      <c r="D44" s="10" t="s">
        <v>227</v>
      </c>
      <c r="E44" s="10" t="s">
        <v>58</v>
      </c>
      <c r="F44" s="10" t="s">
        <v>18</v>
      </c>
      <c r="G44" s="11" t="s">
        <v>151</v>
      </c>
      <c r="H44" s="11" t="s">
        <v>60</v>
      </c>
      <c r="I44" s="12">
        <v>7100</v>
      </c>
      <c r="J44" s="11" t="s">
        <v>236</v>
      </c>
      <c r="K44" s="11" t="s">
        <v>236</v>
      </c>
      <c r="L44" s="11" t="s">
        <v>237</v>
      </c>
    </row>
    <row r="45" ht="42" customHeight="1" spans="1:12" x14ac:dyDescent="0.25">
      <c r="A45" s="10" t="s">
        <v>37</v>
      </c>
      <c r="B45" s="10" t="s">
        <v>238</v>
      </c>
      <c r="C45" s="10" t="s">
        <v>238</v>
      </c>
      <c r="D45" s="10" t="s">
        <v>239</v>
      </c>
      <c r="E45" s="10" t="s">
        <v>104</v>
      </c>
      <c r="F45" s="10" t="s">
        <v>22</v>
      </c>
      <c r="G45" s="11" t="s">
        <v>105</v>
      </c>
      <c r="H45" s="11" t="s">
        <v>152</v>
      </c>
      <c r="I45" s="12">
        <v>6765</v>
      </c>
      <c r="J45" s="11" t="s">
        <v>240</v>
      </c>
      <c r="K45" s="11" t="s">
        <v>241</v>
      </c>
      <c r="L45" s="11" t="s">
        <v>242</v>
      </c>
    </row>
    <row r="46" ht="42" customHeight="1" spans="1:12" x14ac:dyDescent="0.25">
      <c r="A46" s="10" t="s">
        <v>37</v>
      </c>
      <c r="B46" s="10" t="s">
        <v>243</v>
      </c>
      <c r="C46" s="10" t="s">
        <v>243</v>
      </c>
      <c r="D46" s="10" t="s">
        <v>244</v>
      </c>
      <c r="E46" s="10" t="s">
        <v>104</v>
      </c>
      <c r="F46" s="10" t="s">
        <v>22</v>
      </c>
      <c r="G46" s="11" t="s">
        <v>151</v>
      </c>
      <c r="H46" s="11" t="s">
        <v>106</v>
      </c>
      <c r="I46" s="12">
        <v>6680</v>
      </c>
      <c r="J46" s="11" t="s">
        <v>245</v>
      </c>
      <c r="K46" s="11" t="s">
        <v>246</v>
      </c>
      <c r="L46" s="11" t="s">
        <v>247</v>
      </c>
    </row>
    <row r="47" ht="42" customHeight="1" spans="1:12" x14ac:dyDescent="0.25">
      <c r="A47" s="10" t="s">
        <v>37</v>
      </c>
      <c r="B47" s="10" t="s">
        <v>248</v>
      </c>
      <c r="C47" s="10" t="s">
        <v>248</v>
      </c>
      <c r="D47" s="10" t="s">
        <v>249</v>
      </c>
      <c r="E47" s="10" t="s">
        <v>58</v>
      </c>
      <c r="F47" s="10" t="s">
        <v>22</v>
      </c>
      <c r="G47" s="11" t="s">
        <v>117</v>
      </c>
      <c r="H47" s="11" t="s">
        <v>73</v>
      </c>
      <c r="I47" s="12">
        <v>6000</v>
      </c>
      <c r="J47" s="11" t="s">
        <v>250</v>
      </c>
      <c r="K47" s="11" t="s">
        <v>251</v>
      </c>
      <c r="L47" s="11" t="s">
        <v>252</v>
      </c>
    </row>
    <row r="48" ht="42" customHeight="1" spans="1:12" x14ac:dyDescent="0.25">
      <c r="A48" s="10" t="s">
        <v>37</v>
      </c>
      <c r="B48" s="10" t="s">
        <v>253</v>
      </c>
      <c r="C48" s="10" t="s">
        <v>253</v>
      </c>
      <c r="D48" s="10" t="s">
        <v>144</v>
      </c>
      <c r="E48" s="10" t="s">
        <v>41</v>
      </c>
      <c r="F48" s="10" t="s">
        <v>22</v>
      </c>
      <c r="G48" s="11" t="s">
        <v>98</v>
      </c>
      <c r="H48" s="11" t="s">
        <v>73</v>
      </c>
      <c r="I48" s="12">
        <v>6000</v>
      </c>
      <c r="J48" s="11" t="s">
        <v>254</v>
      </c>
      <c r="K48" s="11" t="s">
        <v>254</v>
      </c>
      <c r="L48" s="11" t="s">
        <v>255</v>
      </c>
    </row>
    <row r="49" ht="42" customHeight="1" spans="1:12" x14ac:dyDescent="0.25">
      <c r="A49" s="10" t="s">
        <v>37</v>
      </c>
      <c r="B49" s="10" t="s">
        <v>256</v>
      </c>
      <c r="C49" s="10" t="s">
        <v>256</v>
      </c>
      <c r="D49" s="10" t="s">
        <v>257</v>
      </c>
      <c r="E49" s="10" t="s">
        <v>58</v>
      </c>
      <c r="F49" s="10" t="s">
        <v>22</v>
      </c>
      <c r="G49" s="11" t="s">
        <v>117</v>
      </c>
      <c r="H49" s="11" t="s">
        <v>73</v>
      </c>
      <c r="I49" s="12">
        <v>5000</v>
      </c>
      <c r="J49" s="11" t="s">
        <v>258</v>
      </c>
      <c r="K49" s="11" t="s">
        <v>259</v>
      </c>
      <c r="L49" s="11" t="s">
        <v>260</v>
      </c>
    </row>
    <row r="50" ht="42" customHeight="1" spans="1:12" x14ac:dyDescent="0.25">
      <c r="A50" s="10" t="s">
        <v>37</v>
      </c>
      <c r="B50" s="10" t="s">
        <v>261</v>
      </c>
      <c r="C50" s="10" t="s">
        <v>261</v>
      </c>
      <c r="D50" s="10" t="s">
        <v>65</v>
      </c>
      <c r="E50" s="10" t="s">
        <v>104</v>
      </c>
      <c r="F50" s="10" t="s">
        <v>22</v>
      </c>
      <c r="G50" s="11" t="s">
        <v>151</v>
      </c>
      <c r="H50" s="11" t="s">
        <v>60</v>
      </c>
      <c r="I50" s="12">
        <v>5000</v>
      </c>
      <c r="J50" s="11" t="s">
        <v>262</v>
      </c>
      <c r="K50" s="11" t="s">
        <v>263</v>
      </c>
      <c r="L50" s="11" t="s">
        <v>264</v>
      </c>
    </row>
    <row r="51" ht="42" customHeight="1" spans="1:12" x14ac:dyDescent="0.25">
      <c r="A51" s="10" t="s">
        <v>37</v>
      </c>
      <c r="B51" s="10" t="s">
        <v>265</v>
      </c>
      <c r="C51" s="10" t="s">
        <v>149</v>
      </c>
      <c r="D51" s="10" t="s">
        <v>150</v>
      </c>
      <c r="E51" s="10" t="s">
        <v>104</v>
      </c>
      <c r="F51" s="10" t="s">
        <v>21</v>
      </c>
      <c r="G51" s="11" t="s">
        <v>151</v>
      </c>
      <c r="H51" s="11" t="s">
        <v>106</v>
      </c>
      <c r="I51" s="12">
        <v>4830</v>
      </c>
      <c r="J51" s="11" t="s">
        <v>266</v>
      </c>
      <c r="K51" s="11" t="s">
        <v>266</v>
      </c>
      <c r="L51" s="11" t="s">
        <v>267</v>
      </c>
    </row>
    <row r="52" ht="42" customHeight="1" spans="1:12" x14ac:dyDescent="0.25">
      <c r="A52" s="10" t="s">
        <v>37</v>
      </c>
      <c r="B52" s="10" t="s">
        <v>268</v>
      </c>
      <c r="C52" s="10" t="s">
        <v>220</v>
      </c>
      <c r="D52" s="10" t="s">
        <v>221</v>
      </c>
      <c r="E52" s="10" t="s">
        <v>104</v>
      </c>
      <c r="F52" s="10" t="s">
        <v>21</v>
      </c>
      <c r="G52" s="11" t="s">
        <v>105</v>
      </c>
      <c r="H52" s="11" t="s">
        <v>79</v>
      </c>
      <c r="I52" s="12">
        <v>4771</v>
      </c>
      <c r="J52" s="11" t="s">
        <v>269</v>
      </c>
      <c r="K52" s="11" t="s">
        <v>269</v>
      </c>
      <c r="L52" s="11" t="s">
        <v>270</v>
      </c>
    </row>
    <row r="53" ht="42" customHeight="1" spans="1:12" x14ac:dyDescent="0.25">
      <c r="A53" s="10" t="s">
        <v>37</v>
      </c>
      <c r="B53" s="10" t="s">
        <v>271</v>
      </c>
      <c r="C53" s="10" t="s">
        <v>271</v>
      </c>
      <c r="D53" s="10" t="s">
        <v>272</v>
      </c>
      <c r="E53" s="10" t="s">
        <v>104</v>
      </c>
      <c r="F53" s="10" t="s">
        <v>15</v>
      </c>
      <c r="G53" s="11" t="s">
        <v>42</v>
      </c>
      <c r="H53" s="11" t="s">
        <v>43</v>
      </c>
      <c r="I53" s="12">
        <v>4750</v>
      </c>
      <c r="J53" s="11" t="s">
        <v>273</v>
      </c>
      <c r="K53" s="11" t="s">
        <v>274</v>
      </c>
      <c r="L53" s="11" t="s">
        <v>275</v>
      </c>
    </row>
    <row r="54" ht="42" customHeight="1" spans="1:12" x14ac:dyDescent="0.25">
      <c r="A54" s="10" t="s">
        <v>37</v>
      </c>
      <c r="B54" s="10" t="s">
        <v>276</v>
      </c>
      <c r="C54" s="10" t="s">
        <v>276</v>
      </c>
      <c r="D54" s="10" t="s">
        <v>277</v>
      </c>
      <c r="E54" s="10" t="s">
        <v>104</v>
      </c>
      <c r="F54" s="10" t="s">
        <v>22</v>
      </c>
      <c r="G54" s="11" t="s">
        <v>105</v>
      </c>
      <c r="H54" s="11" t="s">
        <v>106</v>
      </c>
      <c r="I54" s="12">
        <v>4500</v>
      </c>
      <c r="J54" s="11" t="s">
        <v>278</v>
      </c>
      <c r="K54" s="11" t="s">
        <v>279</v>
      </c>
      <c r="L54" s="11" t="s">
        <v>280</v>
      </c>
    </row>
    <row r="55" ht="42" customHeight="1" spans="1:12" x14ac:dyDescent="0.25">
      <c r="A55" s="10" t="s">
        <v>37</v>
      </c>
      <c r="B55" s="10" t="s">
        <v>281</v>
      </c>
      <c r="C55" s="10" t="s">
        <v>282</v>
      </c>
      <c r="D55" s="10" t="s">
        <v>283</v>
      </c>
      <c r="E55" s="10" t="s">
        <v>41</v>
      </c>
      <c r="F55" s="10" t="s">
        <v>21</v>
      </c>
      <c r="G55" s="11" t="s">
        <v>284</v>
      </c>
      <c r="H55" s="11" t="s">
        <v>73</v>
      </c>
      <c r="I55" s="12">
        <v>4500</v>
      </c>
      <c r="J55" s="11" t="s">
        <v>285</v>
      </c>
      <c r="K55" s="11" t="s">
        <v>285</v>
      </c>
      <c r="L55" s="11" t="s">
        <v>286</v>
      </c>
    </row>
    <row r="56" ht="42" customHeight="1" spans="1:12" x14ac:dyDescent="0.25">
      <c r="A56" s="10" t="s">
        <v>37</v>
      </c>
      <c r="B56" s="10" t="s">
        <v>287</v>
      </c>
      <c r="C56" s="10" t="s">
        <v>287</v>
      </c>
      <c r="D56" s="10" t="s">
        <v>288</v>
      </c>
      <c r="E56" s="10" t="s">
        <v>41</v>
      </c>
      <c r="F56" s="10" t="s">
        <v>22</v>
      </c>
      <c r="G56" s="11" t="s">
        <v>210</v>
      </c>
      <c r="H56" s="11" t="s">
        <v>52</v>
      </c>
      <c r="I56" s="12">
        <v>3900</v>
      </c>
      <c r="J56" s="11" t="s">
        <v>289</v>
      </c>
      <c r="K56" s="11" t="s">
        <v>290</v>
      </c>
      <c r="L56" s="11" t="s">
        <v>291</v>
      </c>
    </row>
    <row r="57" ht="42" customHeight="1" spans="1:12" x14ac:dyDescent="0.25">
      <c r="A57" s="10" t="s">
        <v>37</v>
      </c>
      <c r="B57" s="10" t="s">
        <v>292</v>
      </c>
      <c r="C57" s="10" t="s">
        <v>292</v>
      </c>
      <c r="D57" s="10" t="s">
        <v>293</v>
      </c>
      <c r="E57" s="10" t="s">
        <v>41</v>
      </c>
      <c r="F57" s="10" t="s">
        <v>20</v>
      </c>
      <c r="G57" s="11" t="s">
        <v>294</v>
      </c>
      <c r="H57" s="11" t="s">
        <v>152</v>
      </c>
      <c r="I57" s="12">
        <v>3821</v>
      </c>
      <c r="J57" s="11" t="s">
        <v>295</v>
      </c>
      <c r="K57" s="11" t="s">
        <v>296</v>
      </c>
      <c r="L57" s="11" t="s">
        <v>297</v>
      </c>
    </row>
    <row r="58" ht="42" customHeight="1" spans="1:12" x14ac:dyDescent="0.25">
      <c r="A58" s="10" t="s">
        <v>37</v>
      </c>
      <c r="B58" s="10" t="s">
        <v>298</v>
      </c>
      <c r="C58" s="10" t="s">
        <v>149</v>
      </c>
      <c r="D58" s="10" t="s">
        <v>150</v>
      </c>
      <c r="E58" s="10" t="s">
        <v>104</v>
      </c>
      <c r="F58" s="10" t="s">
        <v>23</v>
      </c>
      <c r="G58" s="11" t="s">
        <v>294</v>
      </c>
      <c r="H58" s="11" t="s">
        <v>92</v>
      </c>
      <c r="I58" s="12">
        <v>3663</v>
      </c>
      <c r="J58" s="11" t="s">
        <v>299</v>
      </c>
      <c r="K58" s="11" t="s">
        <v>299</v>
      </c>
      <c r="L58" s="11" t="s">
        <v>300</v>
      </c>
    </row>
    <row r="59" ht="42" customHeight="1" spans="1:12" x14ac:dyDescent="0.25">
      <c r="A59" s="10" t="s">
        <v>37</v>
      </c>
      <c r="B59" s="10" t="s">
        <v>301</v>
      </c>
      <c r="C59" s="10" t="s">
        <v>301</v>
      </c>
      <c r="D59" s="10" t="s">
        <v>302</v>
      </c>
      <c r="E59" s="10" t="s">
        <v>58</v>
      </c>
      <c r="F59" s="10" t="s">
        <v>22</v>
      </c>
      <c r="G59" s="11" t="s">
        <v>78</v>
      </c>
      <c r="H59" s="11" t="s">
        <v>79</v>
      </c>
      <c r="I59" s="12">
        <v>3500</v>
      </c>
      <c r="J59" s="11" t="s">
        <v>303</v>
      </c>
      <c r="K59" s="11" t="s">
        <v>304</v>
      </c>
      <c r="L59" s="11" t="s">
        <v>305</v>
      </c>
    </row>
    <row r="60" ht="42" customHeight="1" spans="1:12" x14ac:dyDescent="0.25">
      <c r="A60" s="10" t="s">
        <v>37</v>
      </c>
      <c r="B60" s="10" t="s">
        <v>306</v>
      </c>
      <c r="C60" s="10" t="s">
        <v>306</v>
      </c>
      <c r="D60" s="10" t="s">
        <v>307</v>
      </c>
      <c r="E60" s="10" t="s">
        <v>58</v>
      </c>
      <c r="F60" s="10" t="s">
        <v>18</v>
      </c>
      <c r="G60" s="11" t="s">
        <v>151</v>
      </c>
      <c r="H60" s="11" t="s">
        <v>60</v>
      </c>
      <c r="I60" s="12">
        <v>3365</v>
      </c>
      <c r="J60" s="11" t="s">
        <v>308</v>
      </c>
      <c r="K60" s="11" t="s">
        <v>309</v>
      </c>
      <c r="L60" s="11" t="s">
        <v>310</v>
      </c>
    </row>
    <row r="61" ht="42" customHeight="1" spans="1:12" x14ac:dyDescent="0.25">
      <c r="A61" s="10" t="s">
        <v>37</v>
      </c>
      <c r="B61" s="10" t="s">
        <v>311</v>
      </c>
      <c r="C61" s="10" t="s">
        <v>311</v>
      </c>
      <c r="D61" s="10" t="s">
        <v>312</v>
      </c>
      <c r="E61" s="10" t="s">
        <v>58</v>
      </c>
      <c r="F61" s="10" t="s">
        <v>18</v>
      </c>
      <c r="G61" s="11" t="s">
        <v>78</v>
      </c>
      <c r="H61" s="11" t="s">
        <v>79</v>
      </c>
      <c r="I61" s="12">
        <v>3328</v>
      </c>
      <c r="J61" s="11" t="s">
        <v>313</v>
      </c>
      <c r="K61" s="11" t="s">
        <v>314</v>
      </c>
      <c r="L61" s="11" t="s">
        <v>315</v>
      </c>
    </row>
    <row r="62" ht="42" customHeight="1" spans="1:12" x14ac:dyDescent="0.25">
      <c r="A62" s="10" t="s">
        <v>37</v>
      </c>
      <c r="B62" s="10" t="s">
        <v>316</v>
      </c>
      <c r="C62" s="10" t="s">
        <v>317</v>
      </c>
      <c r="D62" s="10" t="s">
        <v>318</v>
      </c>
      <c r="E62" s="10" t="s">
        <v>104</v>
      </c>
      <c r="F62" s="10" t="s">
        <v>21</v>
      </c>
      <c r="G62" s="11" t="s">
        <v>151</v>
      </c>
      <c r="H62" s="11" t="s">
        <v>106</v>
      </c>
      <c r="I62" s="12">
        <v>3260</v>
      </c>
      <c r="J62" s="11" t="s">
        <v>319</v>
      </c>
      <c r="K62" s="11" t="s">
        <v>319</v>
      </c>
      <c r="L62" s="11" t="s">
        <v>320</v>
      </c>
    </row>
    <row r="63" ht="42" customHeight="1" spans="1:12" x14ac:dyDescent="0.25">
      <c r="A63" s="10" t="s">
        <v>37</v>
      </c>
      <c r="B63" s="10" t="s">
        <v>321</v>
      </c>
      <c r="C63" s="10" t="s">
        <v>322</v>
      </c>
      <c r="D63" s="10" t="s">
        <v>323</v>
      </c>
      <c r="E63" s="10" t="s">
        <v>104</v>
      </c>
      <c r="F63" s="10" t="s">
        <v>21</v>
      </c>
      <c r="G63" s="11" t="s">
        <v>151</v>
      </c>
      <c r="H63" s="11" t="s">
        <v>106</v>
      </c>
      <c r="I63" s="12">
        <v>3094</v>
      </c>
      <c r="J63" s="11" t="s">
        <v>324</v>
      </c>
      <c r="K63" s="11" t="s">
        <v>324</v>
      </c>
      <c r="L63" s="11" t="s">
        <v>325</v>
      </c>
    </row>
    <row r="64" ht="42" customHeight="1" spans="1:12" x14ac:dyDescent="0.25">
      <c r="A64" s="10" t="s">
        <v>37</v>
      </c>
      <c r="B64" s="10" t="s">
        <v>326</v>
      </c>
      <c r="C64" s="10" t="s">
        <v>326</v>
      </c>
      <c r="D64" s="10" t="s">
        <v>327</v>
      </c>
      <c r="E64" s="10" t="s">
        <v>58</v>
      </c>
      <c r="F64" s="10" t="s">
        <v>22</v>
      </c>
      <c r="G64" s="11" t="s">
        <v>151</v>
      </c>
      <c r="H64" s="11" t="s">
        <v>60</v>
      </c>
      <c r="I64" s="12">
        <v>3000</v>
      </c>
      <c r="J64" s="11" t="s">
        <v>328</v>
      </c>
      <c r="K64" s="11" t="s">
        <v>329</v>
      </c>
      <c r="L64" s="11" t="s">
        <v>330</v>
      </c>
    </row>
    <row r="65" ht="42" customHeight="1" spans="1:12" x14ac:dyDescent="0.25">
      <c r="A65" s="10" t="s">
        <v>37</v>
      </c>
      <c r="B65" s="10" t="s">
        <v>331</v>
      </c>
      <c r="C65" s="10" t="s">
        <v>331</v>
      </c>
      <c r="D65" s="10" t="s">
        <v>332</v>
      </c>
      <c r="E65" s="10" t="s">
        <v>58</v>
      </c>
      <c r="F65" s="10" t="s">
        <v>22</v>
      </c>
      <c r="G65" s="11" t="s">
        <v>105</v>
      </c>
      <c r="H65" s="11" t="s">
        <v>106</v>
      </c>
      <c r="I65" s="12">
        <v>3000</v>
      </c>
      <c r="J65" s="11" t="s">
        <v>333</v>
      </c>
      <c r="K65" s="11" t="s">
        <v>334</v>
      </c>
      <c r="L65" s="11" t="s">
        <v>335</v>
      </c>
    </row>
    <row r="66" ht="42" customHeight="1" spans="1:12" x14ac:dyDescent="0.25">
      <c r="A66" s="10" t="s">
        <v>37</v>
      </c>
      <c r="B66" s="10" t="s">
        <v>336</v>
      </c>
      <c r="C66" s="10" t="s">
        <v>336</v>
      </c>
      <c r="D66" s="10" t="s">
        <v>337</v>
      </c>
      <c r="E66" s="10" t="s">
        <v>58</v>
      </c>
      <c r="F66" s="10" t="s">
        <v>22</v>
      </c>
      <c r="G66" s="11" t="s">
        <v>151</v>
      </c>
      <c r="H66" s="11" t="s">
        <v>60</v>
      </c>
      <c r="I66" s="12">
        <v>3000</v>
      </c>
      <c r="J66" s="11" t="s">
        <v>338</v>
      </c>
      <c r="K66" s="11" t="s">
        <v>339</v>
      </c>
      <c r="L66" s="11" t="s">
        <v>340</v>
      </c>
    </row>
    <row r="67" ht="42" customHeight="1" spans="1:12" x14ac:dyDescent="0.25">
      <c r="A67" s="10" t="s">
        <v>37</v>
      </c>
      <c r="B67" s="10" t="s">
        <v>341</v>
      </c>
      <c r="C67" s="10" t="s">
        <v>226</v>
      </c>
      <c r="D67" s="10" t="s">
        <v>227</v>
      </c>
      <c r="E67" s="10" t="s">
        <v>58</v>
      </c>
      <c r="F67" s="10" t="s">
        <v>18</v>
      </c>
      <c r="G67" s="11" t="s">
        <v>151</v>
      </c>
      <c r="H67" s="11" t="s">
        <v>60</v>
      </c>
      <c r="I67" s="12">
        <v>2700</v>
      </c>
      <c r="J67" s="11" t="s">
        <v>342</v>
      </c>
      <c r="K67" s="11" t="s">
        <v>342</v>
      </c>
      <c r="L67" s="11" t="s">
        <v>343</v>
      </c>
    </row>
    <row r="68" ht="42" customHeight="1" spans="1:12" x14ac:dyDescent="0.25">
      <c r="A68" s="10" t="s">
        <v>37</v>
      </c>
      <c r="B68" s="10" t="s">
        <v>344</v>
      </c>
      <c r="C68" s="10" t="s">
        <v>344</v>
      </c>
      <c r="D68" s="10" t="s">
        <v>345</v>
      </c>
      <c r="E68" s="10" t="s">
        <v>58</v>
      </c>
      <c r="F68" s="10" t="s">
        <v>22</v>
      </c>
      <c r="G68" s="11" t="s">
        <v>151</v>
      </c>
      <c r="H68" s="11" t="s">
        <v>60</v>
      </c>
      <c r="I68" s="12">
        <v>2650</v>
      </c>
      <c r="J68" s="11" t="s">
        <v>346</v>
      </c>
      <c r="K68" s="11" t="s">
        <v>347</v>
      </c>
      <c r="L68" s="11" t="s">
        <v>348</v>
      </c>
    </row>
    <row r="69" ht="42" customHeight="1" spans="1:12" x14ac:dyDescent="0.25">
      <c r="A69" s="10" t="s">
        <v>37</v>
      </c>
      <c r="B69" s="10" t="s">
        <v>349</v>
      </c>
      <c r="C69" s="10" t="s">
        <v>350</v>
      </c>
      <c r="D69" s="10" t="s">
        <v>351</v>
      </c>
      <c r="E69" s="10" t="s">
        <v>104</v>
      </c>
      <c r="F69" s="10" t="s">
        <v>20</v>
      </c>
      <c r="G69" s="11" t="s">
        <v>352</v>
      </c>
      <c r="H69" s="11" t="s">
        <v>152</v>
      </c>
      <c r="I69" s="12">
        <v>2557</v>
      </c>
      <c r="J69" s="11" t="s">
        <v>353</v>
      </c>
      <c r="K69" s="11" t="s">
        <v>353</v>
      </c>
      <c r="L69" s="11" t="s">
        <v>354</v>
      </c>
    </row>
    <row r="70" ht="42" customHeight="1" spans="1:12" x14ac:dyDescent="0.25">
      <c r="A70" s="10" t="s">
        <v>37</v>
      </c>
      <c r="B70" s="10" t="s">
        <v>355</v>
      </c>
      <c r="C70" s="10" t="s">
        <v>355</v>
      </c>
      <c r="D70" s="10" t="s">
        <v>65</v>
      </c>
      <c r="E70" s="10" t="s">
        <v>41</v>
      </c>
      <c r="F70" s="10" t="s">
        <v>18</v>
      </c>
      <c r="G70" s="11" t="s">
        <v>151</v>
      </c>
      <c r="H70" s="11" t="s">
        <v>60</v>
      </c>
      <c r="I70" s="12">
        <v>2500</v>
      </c>
      <c r="J70" s="11" t="s">
        <v>356</v>
      </c>
      <c r="K70" s="11" t="s">
        <v>357</v>
      </c>
      <c r="L70" s="11" t="s">
        <v>358</v>
      </c>
    </row>
    <row r="71" ht="42" customHeight="1" spans="1:12" x14ac:dyDescent="0.25">
      <c r="A71" s="10" t="s">
        <v>37</v>
      </c>
      <c r="B71" s="10" t="s">
        <v>359</v>
      </c>
      <c r="C71" s="10" t="s">
        <v>359</v>
      </c>
      <c r="D71" s="10" t="s">
        <v>360</v>
      </c>
      <c r="E71" s="10" t="s">
        <v>104</v>
      </c>
      <c r="F71" s="10" t="s">
        <v>21</v>
      </c>
      <c r="G71" s="11" t="s">
        <v>105</v>
      </c>
      <c r="H71" s="11" t="s">
        <v>106</v>
      </c>
      <c r="I71" s="12">
        <v>2499</v>
      </c>
      <c r="J71" s="11" t="s">
        <v>361</v>
      </c>
      <c r="K71" s="11" t="s">
        <v>362</v>
      </c>
      <c r="L71" s="11" t="s">
        <v>363</v>
      </c>
    </row>
    <row r="72" ht="42" customHeight="1" spans="1:12" x14ac:dyDescent="0.25">
      <c r="A72" s="10" t="s">
        <v>37</v>
      </c>
      <c r="B72" s="10" t="s">
        <v>364</v>
      </c>
      <c r="C72" s="10" t="s">
        <v>365</v>
      </c>
      <c r="D72" s="10" t="s">
        <v>366</v>
      </c>
      <c r="E72" s="10" t="s">
        <v>41</v>
      </c>
      <c r="F72" s="10" t="s">
        <v>21</v>
      </c>
      <c r="G72" s="11" t="s">
        <v>367</v>
      </c>
      <c r="H72" s="11" t="s">
        <v>79</v>
      </c>
      <c r="I72" s="12">
        <v>2413</v>
      </c>
      <c r="J72" s="11" t="s">
        <v>368</v>
      </c>
      <c r="K72" s="11" t="s">
        <v>368</v>
      </c>
      <c r="L72" s="11" t="s">
        <v>369</v>
      </c>
    </row>
    <row r="73" ht="42" customHeight="1" spans="1:12" x14ac:dyDescent="0.25">
      <c r="A73" s="10" t="s">
        <v>37</v>
      </c>
      <c r="B73" s="10" t="s">
        <v>370</v>
      </c>
      <c r="C73" s="10" t="s">
        <v>370</v>
      </c>
      <c r="D73" s="10" t="s">
        <v>371</v>
      </c>
      <c r="E73" s="10" t="s">
        <v>58</v>
      </c>
      <c r="F73" s="10" t="s">
        <v>22</v>
      </c>
      <c r="G73" s="11" t="s">
        <v>105</v>
      </c>
      <c r="H73" s="11" t="s">
        <v>73</v>
      </c>
      <c r="I73" s="12">
        <v>2400</v>
      </c>
      <c r="J73" s="11" t="s">
        <v>372</v>
      </c>
      <c r="K73" s="11" t="s">
        <v>373</v>
      </c>
      <c r="L73" s="11" t="s">
        <v>374</v>
      </c>
    </row>
    <row r="74" ht="42" customHeight="1" spans="1:12" x14ac:dyDescent="0.25">
      <c r="A74" s="10" t="s">
        <v>37</v>
      </c>
      <c r="B74" s="10" t="s">
        <v>375</v>
      </c>
      <c r="C74" s="10" t="s">
        <v>375</v>
      </c>
      <c r="D74" s="10" t="s">
        <v>376</v>
      </c>
      <c r="E74" s="10" t="s">
        <v>58</v>
      </c>
      <c r="F74" s="10" t="s">
        <v>22</v>
      </c>
      <c r="G74" s="11" t="s">
        <v>151</v>
      </c>
      <c r="H74" s="11" t="s">
        <v>60</v>
      </c>
      <c r="I74" s="12">
        <v>2400</v>
      </c>
      <c r="J74" s="11" t="s">
        <v>377</v>
      </c>
      <c r="K74" s="11" t="s">
        <v>378</v>
      </c>
      <c r="L74" s="11" t="s">
        <v>379</v>
      </c>
    </row>
    <row r="75" ht="42" customHeight="1" spans="1:12" x14ac:dyDescent="0.25">
      <c r="A75" s="10" t="s">
        <v>37</v>
      </c>
      <c r="B75" s="10" t="s">
        <v>380</v>
      </c>
      <c r="C75" s="10" t="s">
        <v>380</v>
      </c>
      <c r="D75" s="10" t="s">
        <v>381</v>
      </c>
      <c r="E75" s="10" t="s">
        <v>41</v>
      </c>
      <c r="F75" s="10" t="s">
        <v>16</v>
      </c>
      <c r="G75" s="11" t="s">
        <v>51</v>
      </c>
      <c r="H75" s="11" t="s">
        <v>52</v>
      </c>
      <c r="I75" s="12">
        <v>2250</v>
      </c>
      <c r="J75" s="11" t="s">
        <v>382</v>
      </c>
      <c r="K75" s="11" t="s">
        <v>383</v>
      </c>
      <c r="L75" s="11" t="s">
        <v>384</v>
      </c>
    </row>
    <row r="76" ht="42" customHeight="1" spans="1:12" x14ac:dyDescent="0.25">
      <c r="A76" s="10" t="s">
        <v>37</v>
      </c>
      <c r="B76" s="10" t="s">
        <v>385</v>
      </c>
      <c r="C76" s="10" t="s">
        <v>385</v>
      </c>
      <c r="D76" s="10" t="s">
        <v>386</v>
      </c>
      <c r="E76" s="10" t="s">
        <v>41</v>
      </c>
      <c r="F76" s="10" t="s">
        <v>20</v>
      </c>
      <c r="G76" s="11" t="s">
        <v>151</v>
      </c>
      <c r="H76" s="11" t="s">
        <v>60</v>
      </c>
      <c r="I76" s="12">
        <v>2250</v>
      </c>
      <c r="J76" s="11" t="s">
        <v>387</v>
      </c>
      <c r="K76" s="11" t="s">
        <v>388</v>
      </c>
      <c r="L76" s="11" t="s">
        <v>389</v>
      </c>
    </row>
    <row r="77" ht="42" customHeight="1" spans="1:12" x14ac:dyDescent="0.25">
      <c r="A77" s="10" t="s">
        <v>37</v>
      </c>
      <c r="B77" s="10" t="s">
        <v>390</v>
      </c>
      <c r="C77" s="10" t="s">
        <v>226</v>
      </c>
      <c r="D77" s="10" t="s">
        <v>227</v>
      </c>
      <c r="E77" s="10" t="s">
        <v>58</v>
      </c>
      <c r="F77" s="10" t="s">
        <v>18</v>
      </c>
      <c r="G77" s="11" t="s">
        <v>151</v>
      </c>
      <c r="H77" s="11" t="s">
        <v>60</v>
      </c>
      <c r="I77" s="12">
        <v>2200</v>
      </c>
      <c r="J77" s="11" t="s">
        <v>391</v>
      </c>
      <c r="K77" s="11" t="s">
        <v>391</v>
      </c>
      <c r="L77" s="11" t="s">
        <v>392</v>
      </c>
    </row>
    <row r="78" ht="42" customHeight="1" spans="1:12" x14ac:dyDescent="0.25">
      <c r="A78" s="10" t="s">
        <v>37</v>
      </c>
      <c r="B78" s="10" t="s">
        <v>393</v>
      </c>
      <c r="C78" s="10" t="s">
        <v>393</v>
      </c>
      <c r="D78" s="10" t="s">
        <v>394</v>
      </c>
      <c r="E78" s="10" t="s">
        <v>58</v>
      </c>
      <c r="F78" s="10" t="s">
        <v>18</v>
      </c>
      <c r="G78" s="11" t="s">
        <v>117</v>
      </c>
      <c r="H78" s="11" t="s">
        <v>73</v>
      </c>
      <c r="I78" s="12">
        <v>2000</v>
      </c>
      <c r="J78" s="11" t="s">
        <v>395</v>
      </c>
      <c r="K78" s="11" t="s">
        <v>396</v>
      </c>
      <c r="L78" s="11" t="s">
        <v>397</v>
      </c>
    </row>
    <row r="79" ht="42" customHeight="1" spans="1:12" x14ac:dyDescent="0.25">
      <c r="A79" s="10" t="s">
        <v>37</v>
      </c>
      <c r="B79" s="10" t="s">
        <v>398</v>
      </c>
      <c r="C79" s="10" t="s">
        <v>398</v>
      </c>
      <c r="D79" s="10" t="s">
        <v>399</v>
      </c>
      <c r="E79" s="10" t="s">
        <v>104</v>
      </c>
      <c r="F79" s="10" t="s">
        <v>19</v>
      </c>
      <c r="G79" s="11" t="s">
        <v>111</v>
      </c>
      <c r="H79" s="11" t="s">
        <v>60</v>
      </c>
      <c r="I79" s="12">
        <v>2000</v>
      </c>
      <c r="J79" s="11" t="s">
        <v>400</v>
      </c>
      <c r="K79" s="11" t="s">
        <v>401</v>
      </c>
      <c r="L79" s="11" t="s">
        <v>402</v>
      </c>
    </row>
    <row r="80" ht="42" customHeight="1" spans="1:12" x14ac:dyDescent="0.25">
      <c r="A80" s="10" t="s">
        <v>37</v>
      </c>
      <c r="B80" s="10" t="s">
        <v>403</v>
      </c>
      <c r="C80" s="10" t="s">
        <v>403</v>
      </c>
      <c r="D80" s="10" t="s">
        <v>404</v>
      </c>
      <c r="E80" s="10" t="s">
        <v>104</v>
      </c>
      <c r="F80" s="10" t="s">
        <v>21</v>
      </c>
      <c r="G80" s="11" t="s">
        <v>151</v>
      </c>
      <c r="H80" s="11" t="s">
        <v>106</v>
      </c>
      <c r="I80" s="12">
        <v>1964</v>
      </c>
      <c r="J80" s="11" t="s">
        <v>405</v>
      </c>
      <c r="K80" s="11" t="s">
        <v>406</v>
      </c>
      <c r="L80" s="11" t="s">
        <v>407</v>
      </c>
    </row>
    <row r="81" ht="42" customHeight="1" spans="1:12" x14ac:dyDescent="0.25">
      <c r="A81" s="10" t="s">
        <v>37</v>
      </c>
      <c r="B81" s="10" t="s">
        <v>408</v>
      </c>
      <c r="C81" s="10" t="s">
        <v>408</v>
      </c>
      <c r="D81" s="10" t="s">
        <v>409</v>
      </c>
      <c r="E81" s="10" t="s">
        <v>58</v>
      </c>
      <c r="F81" s="10" t="s">
        <v>18</v>
      </c>
      <c r="G81" s="11" t="s">
        <v>151</v>
      </c>
      <c r="H81" s="11" t="s">
        <v>60</v>
      </c>
      <c r="I81" s="12">
        <v>1800</v>
      </c>
      <c r="J81" s="11" t="s">
        <v>410</v>
      </c>
      <c r="K81" s="11" t="s">
        <v>411</v>
      </c>
      <c r="L81" s="11" t="s">
        <v>412</v>
      </c>
    </row>
    <row r="82" ht="42" customHeight="1" spans="1:12" x14ac:dyDescent="0.25">
      <c r="A82" s="10" t="s">
        <v>37</v>
      </c>
      <c r="B82" s="10" t="s">
        <v>413</v>
      </c>
      <c r="C82" s="10" t="s">
        <v>413</v>
      </c>
      <c r="D82" s="10" t="s">
        <v>414</v>
      </c>
      <c r="E82" s="10" t="s">
        <v>41</v>
      </c>
      <c r="F82" s="10" t="s">
        <v>21</v>
      </c>
      <c r="G82" s="11" t="s">
        <v>105</v>
      </c>
      <c r="H82" s="11" t="s">
        <v>106</v>
      </c>
      <c r="I82" s="12">
        <v>1500</v>
      </c>
      <c r="J82" s="11" t="s">
        <v>415</v>
      </c>
      <c r="K82" s="11" t="s">
        <v>416</v>
      </c>
      <c r="L82" s="11" t="s">
        <v>417</v>
      </c>
    </row>
    <row r="83" ht="42" customHeight="1" spans="1:12" x14ac:dyDescent="0.25">
      <c r="A83" s="10" t="s">
        <v>37</v>
      </c>
      <c r="B83" s="10" t="s">
        <v>418</v>
      </c>
      <c r="C83" s="10" t="s">
        <v>418</v>
      </c>
      <c r="D83" s="10" t="s">
        <v>171</v>
      </c>
      <c r="E83" s="10" t="s">
        <v>104</v>
      </c>
      <c r="F83" s="10" t="s">
        <v>19</v>
      </c>
      <c r="G83" s="11" t="s">
        <v>105</v>
      </c>
      <c r="H83" s="11" t="s">
        <v>106</v>
      </c>
      <c r="I83" s="12">
        <v>1500</v>
      </c>
      <c r="J83" s="11" t="s">
        <v>419</v>
      </c>
      <c r="K83" s="11" t="s">
        <v>420</v>
      </c>
      <c r="L83" s="11" t="s">
        <v>421</v>
      </c>
    </row>
    <row r="84" ht="42" customHeight="1" spans="1:12" x14ac:dyDescent="0.25">
      <c r="A84" s="10" t="s">
        <v>37</v>
      </c>
      <c r="B84" s="10" t="s">
        <v>422</v>
      </c>
      <c r="C84" s="10" t="s">
        <v>423</v>
      </c>
      <c r="D84" s="10" t="s">
        <v>424</v>
      </c>
      <c r="E84" s="10" t="s">
        <v>104</v>
      </c>
      <c r="F84" s="10" t="s">
        <v>20</v>
      </c>
      <c r="G84" s="11" t="s">
        <v>425</v>
      </c>
      <c r="H84" s="11" t="s">
        <v>152</v>
      </c>
      <c r="I84" s="12">
        <v>1300</v>
      </c>
      <c r="J84" s="11" t="s">
        <v>426</v>
      </c>
      <c r="K84" s="11" t="s">
        <v>426</v>
      </c>
      <c r="L84" s="11" t="s">
        <v>427</v>
      </c>
    </row>
    <row r="85" ht="42" customHeight="1" spans="1:12" x14ac:dyDescent="0.25">
      <c r="A85" s="10" t="s">
        <v>37</v>
      </c>
      <c r="B85" s="10" t="s">
        <v>428</v>
      </c>
      <c r="C85" s="10" t="s">
        <v>429</v>
      </c>
      <c r="D85" s="10" t="s">
        <v>430</v>
      </c>
      <c r="E85" s="10" t="s">
        <v>104</v>
      </c>
      <c r="F85" s="10" t="s">
        <v>22</v>
      </c>
      <c r="G85" s="11" t="s">
        <v>210</v>
      </c>
      <c r="H85" s="11" t="s">
        <v>52</v>
      </c>
      <c r="I85" s="12">
        <v>1243</v>
      </c>
      <c r="J85" s="11" t="s">
        <v>431</v>
      </c>
      <c r="K85" s="11" t="s">
        <v>431</v>
      </c>
      <c r="L85" s="11" t="s">
        <v>432</v>
      </c>
    </row>
    <row r="86" ht="42" customHeight="1" spans="1:12" x14ac:dyDescent="0.25">
      <c r="A86" s="10" t="s">
        <v>37</v>
      </c>
      <c r="B86" s="10" t="s">
        <v>433</v>
      </c>
      <c r="C86" s="10" t="s">
        <v>166</v>
      </c>
      <c r="D86" s="10" t="s">
        <v>167</v>
      </c>
      <c r="E86" s="10" t="s">
        <v>41</v>
      </c>
      <c r="F86" s="10" t="s">
        <v>21</v>
      </c>
      <c r="G86" s="11" t="s">
        <v>434</v>
      </c>
      <c r="H86" s="11" t="s">
        <v>43</v>
      </c>
      <c r="I86" s="12">
        <v>1200</v>
      </c>
      <c r="J86" s="11" t="s">
        <v>435</v>
      </c>
      <c r="K86" s="11" t="s">
        <v>435</v>
      </c>
      <c r="L86" s="11" t="s">
        <v>436</v>
      </c>
    </row>
    <row r="87" ht="42" customHeight="1" spans="1:12" x14ac:dyDescent="0.25">
      <c r="A87" s="10" t="s">
        <v>37</v>
      </c>
      <c r="B87" s="10" t="s">
        <v>437</v>
      </c>
      <c r="C87" s="10" t="s">
        <v>365</v>
      </c>
      <c r="D87" s="10" t="s">
        <v>366</v>
      </c>
      <c r="E87" s="10" t="s">
        <v>41</v>
      </c>
      <c r="F87" s="10" t="s">
        <v>21</v>
      </c>
      <c r="G87" s="11" t="s">
        <v>367</v>
      </c>
      <c r="H87" s="11" t="s">
        <v>79</v>
      </c>
      <c r="I87" s="12">
        <v>1065</v>
      </c>
      <c r="J87" s="11" t="s">
        <v>438</v>
      </c>
      <c r="K87" s="11" t="s">
        <v>439</v>
      </c>
      <c r="L87" s="11" t="s">
        <v>440</v>
      </c>
    </row>
    <row r="88" ht="42" customHeight="1" spans="1:12" x14ac:dyDescent="0.25">
      <c r="A88" s="10" t="s">
        <v>37</v>
      </c>
      <c r="B88" s="10" t="s">
        <v>441</v>
      </c>
      <c r="C88" s="10" t="s">
        <v>442</v>
      </c>
      <c r="D88" s="10" t="s">
        <v>443</v>
      </c>
      <c r="E88" s="10" t="s">
        <v>104</v>
      </c>
      <c r="F88" s="10" t="s">
        <v>20</v>
      </c>
      <c r="G88" s="11" t="s">
        <v>352</v>
      </c>
      <c r="H88" s="11" t="s">
        <v>152</v>
      </c>
      <c r="I88" s="12">
        <v>1060</v>
      </c>
      <c r="J88" s="11" t="s">
        <v>444</v>
      </c>
      <c r="K88" s="11" t="s">
        <v>445</v>
      </c>
      <c r="L88" s="11" t="s">
        <v>446</v>
      </c>
    </row>
    <row r="89" ht="42" customHeight="1" spans="1:12" x14ac:dyDescent="0.25">
      <c r="A89" s="10" t="s">
        <v>37</v>
      </c>
      <c r="B89" s="10" t="s">
        <v>447</v>
      </c>
      <c r="C89" s="10" t="s">
        <v>447</v>
      </c>
      <c r="D89" s="10" t="s">
        <v>448</v>
      </c>
      <c r="E89" s="10" t="s">
        <v>41</v>
      </c>
      <c r="F89" s="10" t="s">
        <v>21</v>
      </c>
      <c r="G89" s="11" t="s">
        <v>85</v>
      </c>
      <c r="H89" s="11" t="s">
        <v>152</v>
      </c>
      <c r="I89" s="12">
        <v>1040</v>
      </c>
      <c r="J89" s="11" t="s">
        <v>449</v>
      </c>
      <c r="K89" s="11" t="s">
        <v>450</v>
      </c>
      <c r="L89" s="11" t="s">
        <v>451</v>
      </c>
    </row>
    <row r="90" ht="42" customHeight="1" spans="1:12" x14ac:dyDescent="0.25">
      <c r="A90" s="10" t="s">
        <v>37</v>
      </c>
      <c r="B90" s="10" t="s">
        <v>452</v>
      </c>
      <c r="C90" s="10" t="s">
        <v>452</v>
      </c>
      <c r="D90" s="10" t="s">
        <v>453</v>
      </c>
      <c r="E90" s="10" t="s">
        <v>104</v>
      </c>
      <c r="F90" s="10" t="s">
        <v>18</v>
      </c>
      <c r="G90" s="11" t="s">
        <v>105</v>
      </c>
      <c r="H90" s="11" t="s">
        <v>79</v>
      </c>
      <c r="I90" s="12">
        <v>1000</v>
      </c>
      <c r="J90" s="11" t="s">
        <v>454</v>
      </c>
      <c r="K90" s="11" t="s">
        <v>455</v>
      </c>
      <c r="L90" s="11" t="s">
        <v>456</v>
      </c>
    </row>
    <row r="91" ht="42" customHeight="1" spans="1:12" x14ac:dyDescent="0.25">
      <c r="A91" s="10" t="s">
        <v>37</v>
      </c>
      <c r="B91" s="10" t="s">
        <v>457</v>
      </c>
      <c r="C91" s="10" t="s">
        <v>39</v>
      </c>
      <c r="D91" s="10" t="s">
        <v>40</v>
      </c>
      <c r="E91" s="10" t="s">
        <v>41</v>
      </c>
      <c r="F91" s="10" t="s">
        <v>15</v>
      </c>
      <c r="G91" s="11" t="s">
        <v>42</v>
      </c>
      <c r="H91" s="11" t="s">
        <v>73</v>
      </c>
      <c r="I91" s="12">
        <v>1000</v>
      </c>
      <c r="J91" s="11" t="s">
        <v>458</v>
      </c>
      <c r="K91" s="11" t="s">
        <v>458</v>
      </c>
      <c r="L91" s="11" t="s">
        <v>459</v>
      </c>
    </row>
    <row r="92" ht="42" customHeight="1" spans="1:12" x14ac:dyDescent="0.25">
      <c r="A92" s="10" t="s">
        <v>37</v>
      </c>
      <c r="B92" s="10" t="s">
        <v>460</v>
      </c>
      <c r="C92" s="10" t="s">
        <v>461</v>
      </c>
      <c r="D92" s="10" t="s">
        <v>65</v>
      </c>
      <c r="E92" s="10" t="s">
        <v>58</v>
      </c>
      <c r="F92" s="10" t="s">
        <v>18</v>
      </c>
      <c r="G92" s="11" t="s">
        <v>151</v>
      </c>
      <c r="H92" s="11" t="s">
        <v>60</v>
      </c>
      <c r="I92" s="12">
        <v>1000</v>
      </c>
      <c r="J92" s="11" t="s">
        <v>462</v>
      </c>
      <c r="K92" s="11" t="s">
        <v>463</v>
      </c>
      <c r="L92" s="11" t="s">
        <v>464</v>
      </c>
    </row>
    <row r="93" ht="42" customHeight="1" spans="1:12" x14ac:dyDescent="0.25">
      <c r="A93" s="10" t="s">
        <v>37</v>
      </c>
      <c r="B93" s="10" t="s">
        <v>465</v>
      </c>
      <c r="C93" s="10" t="s">
        <v>466</v>
      </c>
      <c r="D93" s="10" t="s">
        <v>467</v>
      </c>
      <c r="E93" s="10" t="s">
        <v>104</v>
      </c>
      <c r="F93" s="10" t="s">
        <v>20</v>
      </c>
      <c r="G93" s="11" t="s">
        <v>468</v>
      </c>
      <c r="H93" s="11" t="s">
        <v>152</v>
      </c>
      <c r="I93" s="12">
        <v>950</v>
      </c>
      <c r="J93" s="11" t="s">
        <v>469</v>
      </c>
      <c r="K93" s="11" t="s">
        <v>469</v>
      </c>
      <c r="L93" s="11" t="s">
        <v>470</v>
      </c>
    </row>
    <row r="94" ht="42" customHeight="1" spans="1:12" x14ac:dyDescent="0.25">
      <c r="A94" s="10" t="s">
        <v>37</v>
      </c>
      <c r="B94" s="10" t="s">
        <v>471</v>
      </c>
      <c r="C94" s="10" t="s">
        <v>149</v>
      </c>
      <c r="D94" s="10" t="s">
        <v>150</v>
      </c>
      <c r="E94" s="10" t="s">
        <v>104</v>
      </c>
      <c r="F94" s="10" t="s">
        <v>21</v>
      </c>
      <c r="G94" s="11" t="s">
        <v>294</v>
      </c>
      <c r="H94" s="11" t="s">
        <v>106</v>
      </c>
      <c r="I94" s="12">
        <v>778</v>
      </c>
      <c r="J94" s="11" t="s">
        <v>472</v>
      </c>
      <c r="K94" s="11" t="s">
        <v>472</v>
      </c>
      <c r="L94" s="11" t="s">
        <v>473</v>
      </c>
    </row>
    <row r="95" ht="42" customHeight="1" spans="1:12" x14ac:dyDescent="0.25">
      <c r="A95" s="10" t="s">
        <v>37</v>
      </c>
      <c r="B95" s="10" t="s">
        <v>474</v>
      </c>
      <c r="C95" s="10" t="s">
        <v>474</v>
      </c>
      <c r="D95" s="10" t="s">
        <v>475</v>
      </c>
      <c r="E95" s="10" t="s">
        <v>58</v>
      </c>
      <c r="F95" s="10" t="s">
        <v>16</v>
      </c>
      <c r="G95" s="11" t="s">
        <v>51</v>
      </c>
      <c r="H95" s="11" t="s">
        <v>52</v>
      </c>
      <c r="I95" s="12">
        <v>600</v>
      </c>
      <c r="J95" s="11" t="s">
        <v>476</v>
      </c>
      <c r="K95" s="11" t="s">
        <v>477</v>
      </c>
      <c r="L95" s="11" t="s">
        <v>478</v>
      </c>
    </row>
    <row r="96" ht="42" customHeight="1" spans="1:12" x14ac:dyDescent="0.25">
      <c r="A96" s="10" t="s">
        <v>37</v>
      </c>
      <c r="B96" s="10" t="s">
        <v>479</v>
      </c>
      <c r="C96" s="10" t="s">
        <v>479</v>
      </c>
      <c r="D96" s="10" t="s">
        <v>480</v>
      </c>
      <c r="E96" s="10" t="s">
        <v>104</v>
      </c>
      <c r="F96" s="10" t="s">
        <v>22</v>
      </c>
      <c r="G96" s="11" t="s">
        <v>105</v>
      </c>
      <c r="H96" s="11" t="s">
        <v>106</v>
      </c>
      <c r="I96" s="12">
        <v>600</v>
      </c>
      <c r="J96" s="11" t="s">
        <v>481</v>
      </c>
      <c r="K96" s="11" t="s">
        <v>482</v>
      </c>
      <c r="L96" s="11" t="s">
        <v>483</v>
      </c>
    </row>
    <row r="97" ht="42" customHeight="1" spans="1:12" x14ac:dyDescent="0.25">
      <c r="A97" s="10" t="s">
        <v>37</v>
      </c>
      <c r="B97" s="10" t="s">
        <v>484</v>
      </c>
      <c r="C97" s="10" t="s">
        <v>365</v>
      </c>
      <c r="D97" s="10" t="s">
        <v>366</v>
      </c>
      <c r="E97" s="10" t="s">
        <v>41</v>
      </c>
      <c r="F97" s="10" t="s">
        <v>21</v>
      </c>
      <c r="G97" s="11" t="s">
        <v>367</v>
      </c>
      <c r="H97" s="11" t="s">
        <v>79</v>
      </c>
      <c r="I97" s="12">
        <v>500</v>
      </c>
      <c r="J97" s="11" t="s">
        <v>485</v>
      </c>
      <c r="K97" s="11" t="s">
        <v>485</v>
      </c>
      <c r="L97" s="11" t="s">
        <v>486</v>
      </c>
    </row>
    <row r="98" ht="42" customHeight="1" spans="1:12" x14ac:dyDescent="0.25">
      <c r="A98" s="10" t="s">
        <v>37</v>
      </c>
      <c r="B98" s="10" t="s">
        <v>487</v>
      </c>
      <c r="C98" s="10" t="s">
        <v>488</v>
      </c>
      <c r="D98" s="10" t="s">
        <v>489</v>
      </c>
      <c r="E98" s="10" t="s">
        <v>58</v>
      </c>
      <c r="F98" s="10" t="s">
        <v>18</v>
      </c>
      <c r="G98" s="11" t="s">
        <v>117</v>
      </c>
      <c r="H98" s="11" t="s">
        <v>60</v>
      </c>
      <c r="I98" s="12">
        <v>500</v>
      </c>
      <c r="J98" s="11" t="s">
        <v>490</v>
      </c>
      <c r="K98" s="11" t="s">
        <v>490</v>
      </c>
      <c r="L98" s="11" t="s">
        <v>491</v>
      </c>
    </row>
    <row r="99" ht="42" customHeight="1" spans="1:12" x14ac:dyDescent="0.25">
      <c r="A99" s="10" t="s">
        <v>37</v>
      </c>
      <c r="B99" s="10" t="s">
        <v>492</v>
      </c>
      <c r="C99" s="10" t="s">
        <v>226</v>
      </c>
      <c r="D99" s="10" t="s">
        <v>227</v>
      </c>
      <c r="E99" s="10" t="s">
        <v>58</v>
      </c>
      <c r="F99" s="10" t="s">
        <v>18</v>
      </c>
      <c r="G99" s="11" t="s">
        <v>151</v>
      </c>
      <c r="H99" s="11" t="s">
        <v>60</v>
      </c>
      <c r="I99" s="12">
        <v>488</v>
      </c>
      <c r="J99" s="11" t="s">
        <v>493</v>
      </c>
      <c r="K99" s="11" t="s">
        <v>494</v>
      </c>
      <c r="L99" s="11" t="s">
        <v>495</v>
      </c>
    </row>
    <row r="100" ht="42" customHeight="1" spans="1:12" x14ac:dyDescent="0.25">
      <c r="A100" s="10" t="s">
        <v>37</v>
      </c>
      <c r="B100" s="10" t="s">
        <v>496</v>
      </c>
      <c r="C100" s="10" t="s">
        <v>497</v>
      </c>
      <c r="D100" s="10" t="s">
        <v>498</v>
      </c>
      <c r="E100" s="10" t="s">
        <v>104</v>
      </c>
      <c r="F100" s="10" t="s">
        <v>22</v>
      </c>
      <c r="G100" s="11" t="s">
        <v>499</v>
      </c>
      <c r="H100" s="11" t="s">
        <v>106</v>
      </c>
      <c r="I100" s="12">
        <v>437</v>
      </c>
      <c r="J100" s="11" t="s">
        <v>500</v>
      </c>
      <c r="K100" s="11" t="s">
        <v>500</v>
      </c>
      <c r="L100" s="11" t="s">
        <v>501</v>
      </c>
    </row>
    <row r="101" ht="42" customHeight="1" spans="1:12" x14ac:dyDescent="0.25">
      <c r="A101" s="10" t="s">
        <v>37</v>
      </c>
      <c r="B101" s="10" t="s">
        <v>502</v>
      </c>
      <c r="C101" s="10" t="s">
        <v>423</v>
      </c>
      <c r="D101" s="10" t="s">
        <v>424</v>
      </c>
      <c r="E101" s="10" t="s">
        <v>104</v>
      </c>
      <c r="F101" s="10" t="s">
        <v>20</v>
      </c>
      <c r="G101" s="11" t="s">
        <v>425</v>
      </c>
      <c r="H101" s="11" t="s">
        <v>152</v>
      </c>
      <c r="I101" s="12">
        <v>418</v>
      </c>
      <c r="J101" s="11" t="s">
        <v>503</v>
      </c>
      <c r="K101" s="11" t="s">
        <v>503</v>
      </c>
      <c r="L101" s="11" t="s">
        <v>504</v>
      </c>
    </row>
    <row r="102" ht="42" customHeight="1" spans="1:12" x14ac:dyDescent="0.25">
      <c r="A102" s="10" t="s">
        <v>37</v>
      </c>
      <c r="B102" s="10" t="s">
        <v>505</v>
      </c>
      <c r="C102" s="10" t="s">
        <v>322</v>
      </c>
      <c r="D102" s="10" t="s">
        <v>323</v>
      </c>
      <c r="E102" s="10" t="s">
        <v>104</v>
      </c>
      <c r="F102" s="10" t="s">
        <v>22</v>
      </c>
      <c r="G102" s="11" t="s">
        <v>151</v>
      </c>
      <c r="H102" s="11" t="s">
        <v>106</v>
      </c>
      <c r="I102" s="12">
        <v>400</v>
      </c>
      <c r="J102" s="11" t="s">
        <v>506</v>
      </c>
      <c r="K102" s="11" t="s">
        <v>506</v>
      </c>
      <c r="L102" s="11" t="s">
        <v>507</v>
      </c>
    </row>
    <row r="103" ht="42" customHeight="1" spans="1:12" x14ac:dyDescent="0.25">
      <c r="A103" s="10" t="s">
        <v>37</v>
      </c>
      <c r="B103" s="10" t="s">
        <v>225</v>
      </c>
      <c r="C103" s="10" t="s">
        <v>508</v>
      </c>
      <c r="D103" s="10" t="s">
        <v>409</v>
      </c>
      <c r="E103" s="10" t="s">
        <v>58</v>
      </c>
      <c r="F103" s="10" t="s">
        <v>18</v>
      </c>
      <c r="G103" s="11" t="s">
        <v>151</v>
      </c>
      <c r="H103" s="11" t="s">
        <v>60</v>
      </c>
      <c r="I103" s="12">
        <v>324</v>
      </c>
      <c r="J103" s="11" t="s">
        <v>228</v>
      </c>
      <c r="K103" s="11" t="s">
        <v>228</v>
      </c>
      <c r="L103" s="11" t="s">
        <v>229</v>
      </c>
    </row>
    <row r="104" ht="42" customHeight="1" spans="1:12" x14ac:dyDescent="0.25">
      <c r="A104" s="10" t="s">
        <v>37</v>
      </c>
      <c r="B104" s="10" t="s">
        <v>225</v>
      </c>
      <c r="C104" s="10" t="s">
        <v>509</v>
      </c>
      <c r="D104" s="10" t="s">
        <v>510</v>
      </c>
      <c r="E104" s="10" t="s">
        <v>58</v>
      </c>
      <c r="F104" s="10" t="s">
        <v>18</v>
      </c>
      <c r="G104" s="11" t="s">
        <v>151</v>
      </c>
      <c r="H104" s="11" t="s">
        <v>60</v>
      </c>
      <c r="I104" s="12">
        <v>324</v>
      </c>
      <c r="J104" s="11" t="s">
        <v>228</v>
      </c>
      <c r="K104" s="11" t="s">
        <v>228</v>
      </c>
      <c r="L104" s="11" t="s">
        <v>229</v>
      </c>
    </row>
    <row r="105" ht="42" customHeight="1" spans="1:12" x14ac:dyDescent="0.25">
      <c r="A105" s="10" t="s">
        <v>57</v>
      </c>
      <c r="B105" s="10" t="s">
        <v>57</v>
      </c>
      <c r="C105" s="10" t="s">
        <v>57</v>
      </c>
      <c r="D105" s="10" t="s">
        <v>57</v>
      </c>
      <c r="E105" s="10" t="s">
        <v>57</v>
      </c>
      <c r="F105" s="10" t="s">
        <v>57</v>
      </c>
      <c r="G105" s="11" t="s">
        <v>57</v>
      </c>
      <c r="H105" s="11" t="s">
        <v>57</v>
      </c>
      <c r="I105" s="12" t="s">
        <v>57</v>
      </c>
      <c r="J105" s="11" t="s">
        <v>57</v>
      </c>
      <c r="K105" s="11" t="s">
        <v>57</v>
      </c>
      <c r="L105" s="11" t="s">
        <v>57</v>
      </c>
    </row>
    <row r="106" ht="42" customHeight="1" spans="1:12" x14ac:dyDescent="0.25">
      <c r="A106" s="10" t="s">
        <v>57</v>
      </c>
      <c r="B106" s="10" t="s">
        <v>57</v>
      </c>
      <c r="C106" s="10" t="s">
        <v>57</v>
      </c>
      <c r="D106" s="10" t="s">
        <v>57</v>
      </c>
      <c r="E106" s="10" t="s">
        <v>57</v>
      </c>
      <c r="F106" s="10" t="s">
        <v>57</v>
      </c>
      <c r="G106" s="11" t="s">
        <v>57</v>
      </c>
      <c r="H106" s="11" t="s">
        <v>57</v>
      </c>
      <c r="I106" s="12" t="s">
        <v>57</v>
      </c>
      <c r="J106" s="11" t="s">
        <v>57</v>
      </c>
      <c r="K106" s="11" t="s">
        <v>57</v>
      </c>
      <c r="L106" s="11" t="s">
        <v>57</v>
      </c>
    </row>
    <row r="107" ht="42" customHeight="1" spans="1:12" x14ac:dyDescent="0.25">
      <c r="A107" s="10" t="s">
        <v>57</v>
      </c>
      <c r="B107" s="10" t="s">
        <v>57</v>
      </c>
      <c r="C107" s="10" t="s">
        <v>57</v>
      </c>
      <c r="D107" s="10" t="s">
        <v>57</v>
      </c>
      <c r="E107" s="10" t="s">
        <v>57</v>
      </c>
      <c r="F107" s="10" t="s">
        <v>57</v>
      </c>
      <c r="G107" s="11" t="s">
        <v>57</v>
      </c>
      <c r="H107" s="11" t="s">
        <v>57</v>
      </c>
      <c r="I107" s="12" t="s">
        <v>57</v>
      </c>
      <c r="J107" s="11" t="s">
        <v>57</v>
      </c>
      <c r="K107" s="11" t="s">
        <v>57</v>
      </c>
      <c r="L107" s="11" t="s">
        <v>57</v>
      </c>
    </row>
    <row r="108" ht="42" customHeight="1" spans="1:12" x14ac:dyDescent="0.25">
      <c r="A108" s="10" t="s">
        <v>57</v>
      </c>
      <c r="B108" s="10" t="s">
        <v>57</v>
      </c>
      <c r="C108" s="10" t="s">
        <v>57</v>
      </c>
      <c r="D108" s="10" t="s">
        <v>57</v>
      </c>
      <c r="E108" s="10" t="s">
        <v>57</v>
      </c>
      <c r="F108" s="10" t="s">
        <v>57</v>
      </c>
      <c r="G108" s="11" t="s">
        <v>57</v>
      </c>
      <c r="H108" s="11" t="s">
        <v>57</v>
      </c>
      <c r="I108" s="12" t="s">
        <v>57</v>
      </c>
      <c r="J108" s="11" t="s">
        <v>57</v>
      </c>
      <c r="K108" s="11" t="s">
        <v>57</v>
      </c>
      <c r="L108" s="11" t="s">
        <v>57</v>
      </c>
    </row>
    <row r="109" ht="42" customHeight="1" spans="1:12" x14ac:dyDescent="0.25">
      <c r="A109" s="10" t="s">
        <v>57</v>
      </c>
      <c r="B109" s="10" t="s">
        <v>57</v>
      </c>
      <c r="C109" s="10" t="s">
        <v>57</v>
      </c>
      <c r="D109" s="10" t="s">
        <v>57</v>
      </c>
      <c r="E109" s="10" t="s">
        <v>57</v>
      </c>
      <c r="F109" s="10" t="s">
        <v>57</v>
      </c>
      <c r="G109" s="11" t="s">
        <v>57</v>
      </c>
      <c r="H109" s="11" t="s">
        <v>57</v>
      </c>
      <c r="I109" s="12" t="s">
        <v>57</v>
      </c>
      <c r="J109" s="11" t="s">
        <v>57</v>
      </c>
      <c r="K109" s="11" t="s">
        <v>57</v>
      </c>
      <c r="L109" s="11" t="s">
        <v>57</v>
      </c>
    </row>
    <row r="110" ht="42" customHeight="1" spans="1:12" x14ac:dyDescent="0.25">
      <c r="A110" s="10" t="s">
        <v>57</v>
      </c>
      <c r="B110" s="10" t="s">
        <v>57</v>
      </c>
      <c r="C110" s="10" t="s">
        <v>57</v>
      </c>
      <c r="D110" s="10" t="s">
        <v>57</v>
      </c>
      <c r="E110" s="10" t="s">
        <v>57</v>
      </c>
      <c r="F110" s="10" t="s">
        <v>57</v>
      </c>
      <c r="G110" s="11" t="s">
        <v>57</v>
      </c>
      <c r="H110" s="11" t="s">
        <v>57</v>
      </c>
      <c r="I110" s="12" t="s">
        <v>57</v>
      </c>
      <c r="J110" s="11" t="s">
        <v>57</v>
      </c>
      <c r="K110" s="11" t="s">
        <v>57</v>
      </c>
      <c r="L110" s="11" t="s">
        <v>57</v>
      </c>
    </row>
    <row r="111" ht="42" customHeight="1" spans="1:12" x14ac:dyDescent="0.25">
      <c r="A111" s="10" t="s">
        <v>57</v>
      </c>
      <c r="B111" s="10" t="s">
        <v>57</v>
      </c>
      <c r="C111" s="10" t="s">
        <v>57</v>
      </c>
      <c r="D111" s="10" t="s">
        <v>57</v>
      </c>
      <c r="E111" s="10" t="s">
        <v>57</v>
      </c>
      <c r="F111" s="10" t="s">
        <v>57</v>
      </c>
      <c r="G111" s="11" t="s">
        <v>57</v>
      </c>
      <c r="H111" s="11" t="s">
        <v>57</v>
      </c>
      <c r="I111" s="12" t="s">
        <v>57</v>
      </c>
      <c r="J111" s="11" t="s">
        <v>57</v>
      </c>
      <c r="K111" s="11" t="s">
        <v>57</v>
      </c>
      <c r="L111" s="11" t="s">
        <v>57</v>
      </c>
    </row>
    <row r="112" ht="42" customHeight="1" spans="1:12" x14ac:dyDescent="0.25">
      <c r="A112" s="10" t="s">
        <v>57</v>
      </c>
      <c r="B112" s="10" t="s">
        <v>57</v>
      </c>
      <c r="C112" s="10" t="s">
        <v>57</v>
      </c>
      <c r="D112" s="10" t="s">
        <v>57</v>
      </c>
      <c r="E112" s="10" t="s">
        <v>57</v>
      </c>
      <c r="F112" s="10" t="s">
        <v>57</v>
      </c>
      <c r="G112" s="11" t="s">
        <v>57</v>
      </c>
      <c r="H112" s="11" t="s">
        <v>57</v>
      </c>
      <c r="I112" s="12" t="s">
        <v>57</v>
      </c>
      <c r="J112" s="11" t="s">
        <v>57</v>
      </c>
      <c r="K112" s="11" t="s">
        <v>57</v>
      </c>
      <c r="L112" s="11" t="s">
        <v>57</v>
      </c>
    </row>
    <row r="113" ht="42" customHeight="1" spans="1:12" x14ac:dyDescent="0.25">
      <c r="A113" s="10" t="s">
        <v>57</v>
      </c>
      <c r="B113" s="10" t="s">
        <v>57</v>
      </c>
      <c r="C113" s="10" t="s">
        <v>57</v>
      </c>
      <c r="D113" s="10" t="s">
        <v>57</v>
      </c>
      <c r="E113" s="10" t="s">
        <v>57</v>
      </c>
      <c r="F113" s="10" t="s">
        <v>57</v>
      </c>
      <c r="G113" s="11" t="s">
        <v>57</v>
      </c>
      <c r="H113" s="11" t="s">
        <v>57</v>
      </c>
      <c r="I113" s="12" t="s">
        <v>57</v>
      </c>
      <c r="J113" s="11" t="s">
        <v>57</v>
      </c>
      <c r="K113" s="11" t="s">
        <v>57</v>
      </c>
      <c r="L113" s="11" t="s">
        <v>57</v>
      </c>
    </row>
    <row r="114" ht="42" customHeight="1" spans="1:12" x14ac:dyDescent="0.25">
      <c r="A114" s="10" t="s">
        <v>57</v>
      </c>
      <c r="B114" s="10" t="s">
        <v>57</v>
      </c>
      <c r="C114" s="10" t="s">
        <v>57</v>
      </c>
      <c r="D114" s="10" t="s">
        <v>57</v>
      </c>
      <c r="E114" s="10" t="s">
        <v>57</v>
      </c>
      <c r="F114" s="10" t="s">
        <v>57</v>
      </c>
      <c r="G114" s="11" t="s">
        <v>57</v>
      </c>
      <c r="H114" s="11" t="s">
        <v>57</v>
      </c>
      <c r="I114" s="12" t="s">
        <v>57</v>
      </c>
      <c r="J114" s="11" t="s">
        <v>57</v>
      </c>
      <c r="K114" s="11" t="s">
        <v>57</v>
      </c>
      <c r="L114" s="11" t="s">
        <v>57</v>
      </c>
    </row>
    <row r="115" ht="42" customHeight="1" spans="1:12" x14ac:dyDescent="0.25">
      <c r="A115" s="10" t="s">
        <v>57</v>
      </c>
      <c r="B115" s="10" t="s">
        <v>57</v>
      </c>
      <c r="C115" s="10" t="s">
        <v>57</v>
      </c>
      <c r="D115" s="10" t="s">
        <v>57</v>
      </c>
      <c r="E115" s="10" t="s">
        <v>57</v>
      </c>
      <c r="F115" s="10" t="s">
        <v>57</v>
      </c>
      <c r="G115" s="11" t="s">
        <v>57</v>
      </c>
      <c r="H115" s="11" t="s">
        <v>57</v>
      </c>
      <c r="I115" s="12" t="s">
        <v>57</v>
      </c>
      <c r="J115" s="11" t="s">
        <v>57</v>
      </c>
      <c r="K115" s="11" t="s">
        <v>57</v>
      </c>
      <c r="L115" s="11" t="s">
        <v>57</v>
      </c>
    </row>
    <row r="116" ht="42" customHeight="1" spans="1:12" x14ac:dyDescent="0.25">
      <c r="A116" s="10" t="s">
        <v>57</v>
      </c>
      <c r="B116" s="10" t="s">
        <v>57</v>
      </c>
      <c r="C116" s="10" t="s">
        <v>57</v>
      </c>
      <c r="D116" s="10" t="s">
        <v>57</v>
      </c>
      <c r="E116" s="10" t="s">
        <v>57</v>
      </c>
      <c r="F116" s="10" t="s">
        <v>57</v>
      </c>
      <c r="G116" s="11" t="s">
        <v>57</v>
      </c>
      <c r="H116" s="11" t="s">
        <v>57</v>
      </c>
      <c r="I116" s="12" t="s">
        <v>57</v>
      </c>
      <c r="J116" s="11" t="s">
        <v>57</v>
      </c>
      <c r="K116" s="11" t="s">
        <v>57</v>
      </c>
      <c r="L116" s="11" t="s">
        <v>57</v>
      </c>
    </row>
    <row r="117" ht="42" customHeight="1" spans="1:12" x14ac:dyDescent="0.25">
      <c r="A117" s="10" t="s">
        <v>57</v>
      </c>
      <c r="B117" s="10" t="s">
        <v>57</v>
      </c>
      <c r="C117" s="10" t="s">
        <v>57</v>
      </c>
      <c r="D117" s="10" t="s">
        <v>57</v>
      </c>
      <c r="E117" s="10" t="s">
        <v>57</v>
      </c>
      <c r="F117" s="10" t="s">
        <v>57</v>
      </c>
      <c r="G117" s="11" t="s">
        <v>57</v>
      </c>
      <c r="H117" s="11" t="s">
        <v>57</v>
      </c>
      <c r="I117" s="12" t="s">
        <v>57</v>
      </c>
      <c r="J117" s="11" t="s">
        <v>57</v>
      </c>
      <c r="K117" s="11" t="s">
        <v>57</v>
      </c>
      <c r="L117" s="11" t="s">
        <v>57</v>
      </c>
    </row>
    <row r="118" ht="42" customHeight="1" spans="1:12" x14ac:dyDescent="0.25">
      <c r="A118" s="10" t="s">
        <v>57</v>
      </c>
      <c r="B118" s="10" t="s">
        <v>57</v>
      </c>
      <c r="C118" s="10" t="s">
        <v>57</v>
      </c>
      <c r="D118" s="10" t="s">
        <v>57</v>
      </c>
      <c r="E118" s="10" t="s">
        <v>57</v>
      </c>
      <c r="F118" s="10" t="s">
        <v>57</v>
      </c>
      <c r="G118" s="11" t="s">
        <v>57</v>
      </c>
      <c r="H118" s="11" t="s">
        <v>57</v>
      </c>
      <c r="I118" s="12" t="s">
        <v>57</v>
      </c>
      <c r="J118" s="11" t="s">
        <v>57</v>
      </c>
      <c r="K118" s="11" t="s">
        <v>57</v>
      </c>
      <c r="L118" s="11" t="s">
        <v>57</v>
      </c>
    </row>
    <row r="119" ht="42" customHeight="1" spans="1:12" x14ac:dyDescent="0.25">
      <c r="A119" s="10" t="s">
        <v>57</v>
      </c>
      <c r="B119" s="10" t="s">
        <v>57</v>
      </c>
      <c r="C119" s="10" t="s">
        <v>57</v>
      </c>
      <c r="D119" s="10" t="s">
        <v>57</v>
      </c>
      <c r="E119" s="10" t="s">
        <v>57</v>
      </c>
      <c r="F119" s="10" t="s">
        <v>57</v>
      </c>
      <c r="G119" s="11" t="s">
        <v>57</v>
      </c>
      <c r="H119" s="11" t="s">
        <v>57</v>
      </c>
      <c r="I119" s="12" t="s">
        <v>57</v>
      </c>
      <c r="J119" s="11" t="s">
        <v>57</v>
      </c>
      <c r="K119" s="11" t="s">
        <v>57</v>
      </c>
      <c r="L119" s="11" t="s">
        <v>57</v>
      </c>
    </row>
    <row r="120" ht="42" customHeight="1" spans="1:12" x14ac:dyDescent="0.25">
      <c r="A120" s="10" t="s">
        <v>57</v>
      </c>
      <c r="B120" s="10" t="s">
        <v>57</v>
      </c>
      <c r="C120" s="10" t="s">
        <v>57</v>
      </c>
      <c r="D120" s="10" t="s">
        <v>57</v>
      </c>
      <c r="E120" s="10" t="s">
        <v>57</v>
      </c>
      <c r="F120" s="10" t="s">
        <v>57</v>
      </c>
      <c r="G120" s="11" t="s">
        <v>57</v>
      </c>
      <c r="H120" s="11" t="s">
        <v>57</v>
      </c>
      <c r="I120" s="12" t="s">
        <v>57</v>
      </c>
      <c r="J120" s="11" t="s">
        <v>57</v>
      </c>
      <c r="K120" s="11" t="s">
        <v>57</v>
      </c>
      <c r="L120" s="11" t="s">
        <v>57</v>
      </c>
    </row>
    <row r="121" ht="42" customHeight="1" spans="1:12" x14ac:dyDescent="0.25">
      <c r="A121" s="10" t="s">
        <v>57</v>
      </c>
      <c r="B121" s="10" t="s">
        <v>57</v>
      </c>
      <c r="C121" s="10" t="s">
        <v>57</v>
      </c>
      <c r="D121" s="10" t="s">
        <v>57</v>
      </c>
      <c r="E121" s="10" t="s">
        <v>57</v>
      </c>
      <c r="F121" s="10" t="s">
        <v>57</v>
      </c>
      <c r="G121" s="11" t="s">
        <v>57</v>
      </c>
      <c r="H121" s="11" t="s">
        <v>57</v>
      </c>
      <c r="I121" s="12" t="s">
        <v>57</v>
      </c>
      <c r="J121" s="11" t="s">
        <v>57</v>
      </c>
      <c r="K121" s="11" t="s">
        <v>57</v>
      </c>
      <c r="L121" s="11" t="s">
        <v>57</v>
      </c>
    </row>
    <row r="122" ht="42" customHeight="1" spans="1:12" x14ac:dyDescent="0.25">
      <c r="A122" s="10" t="s">
        <v>57</v>
      </c>
      <c r="B122" s="10" t="s">
        <v>57</v>
      </c>
      <c r="C122" s="10" t="s">
        <v>57</v>
      </c>
      <c r="D122" s="10" t="s">
        <v>57</v>
      </c>
      <c r="E122" s="10" t="s">
        <v>57</v>
      </c>
      <c r="F122" s="10" t="s">
        <v>57</v>
      </c>
      <c r="G122" s="11" t="s">
        <v>57</v>
      </c>
      <c r="H122" s="11" t="s">
        <v>57</v>
      </c>
      <c r="I122" s="12" t="s">
        <v>57</v>
      </c>
      <c r="J122" s="11" t="s">
        <v>57</v>
      </c>
      <c r="K122" s="11" t="s">
        <v>57</v>
      </c>
      <c r="L122" s="11" t="s">
        <v>57</v>
      </c>
    </row>
    <row r="123" ht="42" customHeight="1" spans="1:12" x14ac:dyDescent="0.25">
      <c r="A123" s="10" t="s">
        <v>57</v>
      </c>
      <c r="B123" s="10" t="s">
        <v>57</v>
      </c>
      <c r="C123" s="10" t="s">
        <v>57</v>
      </c>
      <c r="D123" s="10" t="s">
        <v>57</v>
      </c>
      <c r="E123" s="10" t="s">
        <v>57</v>
      </c>
      <c r="F123" s="10" t="s">
        <v>57</v>
      </c>
      <c r="G123" s="11" t="s">
        <v>57</v>
      </c>
      <c r="H123" s="11" t="s">
        <v>57</v>
      </c>
      <c r="I123" s="12" t="s">
        <v>57</v>
      </c>
      <c r="J123" s="11" t="s">
        <v>57</v>
      </c>
      <c r="K123" s="11" t="s">
        <v>57</v>
      </c>
      <c r="L123" s="11" t="s">
        <v>57</v>
      </c>
    </row>
    <row r="124" ht="42" customHeight="1" spans="1:12" x14ac:dyDescent="0.25">
      <c r="A124" s="10" t="s">
        <v>57</v>
      </c>
      <c r="B124" s="10" t="s">
        <v>57</v>
      </c>
      <c r="C124" s="10" t="s">
        <v>57</v>
      </c>
      <c r="D124" s="10" t="s">
        <v>57</v>
      </c>
      <c r="E124" s="10" t="s">
        <v>57</v>
      </c>
      <c r="F124" s="10" t="s">
        <v>57</v>
      </c>
      <c r="G124" s="11" t="s">
        <v>57</v>
      </c>
      <c r="H124" s="11" t="s">
        <v>57</v>
      </c>
      <c r="I124" s="12" t="s">
        <v>57</v>
      </c>
      <c r="J124" s="11" t="s">
        <v>57</v>
      </c>
      <c r="K124" s="11" t="s">
        <v>57</v>
      </c>
      <c r="L124" s="11" t="s">
        <v>57</v>
      </c>
    </row>
    <row r="125" ht="42" customHeight="1" spans="1:12" x14ac:dyDescent="0.25">
      <c r="A125" s="10" t="s">
        <v>57</v>
      </c>
      <c r="B125" s="10" t="s">
        <v>57</v>
      </c>
      <c r="C125" s="10" t="s">
        <v>57</v>
      </c>
      <c r="D125" s="10" t="s">
        <v>57</v>
      </c>
      <c r="E125" s="10" t="s">
        <v>57</v>
      </c>
      <c r="F125" s="10" t="s">
        <v>57</v>
      </c>
      <c r="G125" s="11" t="s">
        <v>57</v>
      </c>
      <c r="H125" s="11" t="s">
        <v>57</v>
      </c>
      <c r="I125" s="12" t="s">
        <v>57</v>
      </c>
      <c r="J125" s="11" t="s">
        <v>57</v>
      </c>
      <c r="K125" s="11" t="s">
        <v>57</v>
      </c>
      <c r="L125" s="11" t="s">
        <v>57</v>
      </c>
    </row>
    <row r="126" ht="42" customHeight="1" spans="1:12" x14ac:dyDescent="0.25">
      <c r="A126" s="10" t="s">
        <v>57</v>
      </c>
      <c r="B126" s="10" t="s">
        <v>57</v>
      </c>
      <c r="C126" s="10" t="s">
        <v>57</v>
      </c>
      <c r="D126" s="10" t="s">
        <v>57</v>
      </c>
      <c r="E126" s="10" t="s">
        <v>57</v>
      </c>
      <c r="F126" s="10" t="s">
        <v>57</v>
      </c>
      <c r="G126" s="11" t="s">
        <v>57</v>
      </c>
      <c r="H126" s="11" t="s">
        <v>57</v>
      </c>
      <c r="I126" s="12" t="s">
        <v>57</v>
      </c>
      <c r="J126" s="11" t="s">
        <v>57</v>
      </c>
      <c r="K126" s="11" t="s">
        <v>57</v>
      </c>
      <c r="L126" s="11" t="s">
        <v>57</v>
      </c>
    </row>
    <row r="127" ht="42" customHeight="1" spans="1:12" x14ac:dyDescent="0.25">
      <c r="A127" s="10" t="s">
        <v>57</v>
      </c>
      <c r="B127" s="10" t="s">
        <v>57</v>
      </c>
      <c r="C127" s="10" t="s">
        <v>57</v>
      </c>
      <c r="D127" s="10" t="s">
        <v>57</v>
      </c>
      <c r="E127" s="10" t="s">
        <v>57</v>
      </c>
      <c r="F127" s="10" t="s">
        <v>57</v>
      </c>
      <c r="G127" s="11" t="s">
        <v>57</v>
      </c>
      <c r="H127" s="11" t="s">
        <v>57</v>
      </c>
      <c r="I127" s="12" t="s">
        <v>57</v>
      </c>
      <c r="J127" s="11" t="s">
        <v>57</v>
      </c>
      <c r="K127" s="11" t="s">
        <v>57</v>
      </c>
      <c r="L127" s="11" t="s">
        <v>57</v>
      </c>
    </row>
    <row r="128" ht="42" customHeight="1" spans="1:12" x14ac:dyDescent="0.25">
      <c r="A128" s="10" t="s">
        <v>57</v>
      </c>
      <c r="B128" s="10" t="s">
        <v>57</v>
      </c>
      <c r="C128" s="10" t="s">
        <v>57</v>
      </c>
      <c r="D128" s="10" t="s">
        <v>57</v>
      </c>
      <c r="E128" s="10" t="s">
        <v>57</v>
      </c>
      <c r="F128" s="10" t="s">
        <v>57</v>
      </c>
      <c r="G128" s="11" t="s">
        <v>57</v>
      </c>
      <c r="H128" s="11" t="s">
        <v>57</v>
      </c>
      <c r="I128" s="12" t="s">
        <v>57</v>
      </c>
      <c r="J128" s="11" t="s">
        <v>57</v>
      </c>
      <c r="K128" s="11" t="s">
        <v>57</v>
      </c>
      <c r="L128" s="11" t="s">
        <v>57</v>
      </c>
    </row>
    <row r="129" ht="42" customHeight="1" spans="1:12" x14ac:dyDescent="0.25">
      <c r="A129" s="10" t="s">
        <v>57</v>
      </c>
      <c r="B129" s="10" t="s">
        <v>57</v>
      </c>
      <c r="C129" s="10" t="s">
        <v>57</v>
      </c>
      <c r="D129" s="10" t="s">
        <v>57</v>
      </c>
      <c r="E129" s="10" t="s">
        <v>57</v>
      </c>
      <c r="F129" s="10" t="s">
        <v>57</v>
      </c>
      <c r="G129" s="11" t="s">
        <v>57</v>
      </c>
      <c r="H129" s="11" t="s">
        <v>57</v>
      </c>
      <c r="I129" s="12" t="s">
        <v>57</v>
      </c>
      <c r="J129" s="11" t="s">
        <v>57</v>
      </c>
      <c r="K129" s="11" t="s">
        <v>57</v>
      </c>
      <c r="L129" s="11" t="s">
        <v>57</v>
      </c>
    </row>
    <row r="130" ht="42" customHeight="1" spans="1:12" x14ac:dyDescent="0.25">
      <c r="A130" s="10" t="s">
        <v>57</v>
      </c>
      <c r="B130" s="10" t="s">
        <v>57</v>
      </c>
      <c r="C130" s="10" t="s">
        <v>57</v>
      </c>
      <c r="D130" s="10" t="s">
        <v>57</v>
      </c>
      <c r="E130" s="10" t="s">
        <v>57</v>
      </c>
      <c r="F130" s="10" t="s">
        <v>57</v>
      </c>
      <c r="G130" s="11" t="s">
        <v>57</v>
      </c>
      <c r="H130" s="11" t="s">
        <v>57</v>
      </c>
      <c r="I130" s="12" t="s">
        <v>57</v>
      </c>
      <c r="J130" s="11" t="s">
        <v>57</v>
      </c>
      <c r="K130" s="11" t="s">
        <v>57</v>
      </c>
      <c r="L130" s="11" t="s">
        <v>57</v>
      </c>
    </row>
    <row r="131" ht="42" customHeight="1" spans="1:12" x14ac:dyDescent="0.25">
      <c r="A131" s="10" t="s">
        <v>57</v>
      </c>
      <c r="B131" s="10" t="s">
        <v>57</v>
      </c>
      <c r="C131" s="10" t="s">
        <v>57</v>
      </c>
      <c r="D131" s="10" t="s">
        <v>57</v>
      </c>
      <c r="E131" s="10" t="s">
        <v>57</v>
      </c>
      <c r="F131" s="10" t="s">
        <v>57</v>
      </c>
      <c r="G131" s="11" t="s">
        <v>57</v>
      </c>
      <c r="H131" s="11" t="s">
        <v>57</v>
      </c>
      <c r="I131" s="12" t="s">
        <v>57</v>
      </c>
      <c r="J131" s="11" t="s">
        <v>57</v>
      </c>
      <c r="K131" s="11" t="s">
        <v>57</v>
      </c>
      <c r="L131" s="11" t="s">
        <v>57</v>
      </c>
    </row>
    <row r="132" ht="42" customHeight="1" spans="1:12" x14ac:dyDescent="0.25">
      <c r="A132" s="10" t="s">
        <v>57</v>
      </c>
      <c r="B132" s="10" t="s">
        <v>57</v>
      </c>
      <c r="C132" s="10" t="s">
        <v>57</v>
      </c>
      <c r="D132" s="10" t="s">
        <v>57</v>
      </c>
      <c r="E132" s="10" t="s">
        <v>57</v>
      </c>
      <c r="F132" s="10" t="s">
        <v>57</v>
      </c>
      <c r="G132" s="11" t="s">
        <v>57</v>
      </c>
      <c r="H132" s="11" t="s">
        <v>57</v>
      </c>
      <c r="I132" s="12" t="s">
        <v>57</v>
      </c>
      <c r="J132" s="11" t="s">
        <v>57</v>
      </c>
      <c r="K132" s="11" t="s">
        <v>57</v>
      </c>
      <c r="L132" s="11" t="s">
        <v>57</v>
      </c>
    </row>
    <row r="133" ht="42" customHeight="1" spans="1:12" x14ac:dyDescent="0.25">
      <c r="A133" s="10" t="s">
        <v>57</v>
      </c>
      <c r="B133" s="10" t="s">
        <v>57</v>
      </c>
      <c r="C133" s="10" t="s">
        <v>57</v>
      </c>
      <c r="D133" s="10" t="s">
        <v>57</v>
      </c>
      <c r="E133" s="10" t="s">
        <v>57</v>
      </c>
      <c r="F133" s="10" t="s">
        <v>57</v>
      </c>
      <c r="G133" s="11" t="s">
        <v>57</v>
      </c>
      <c r="H133" s="11" t="s">
        <v>57</v>
      </c>
      <c r="I133" s="12" t="s">
        <v>57</v>
      </c>
      <c r="J133" s="11" t="s">
        <v>57</v>
      </c>
      <c r="K133" s="11" t="s">
        <v>57</v>
      </c>
      <c r="L133" s="11" t="s">
        <v>57</v>
      </c>
    </row>
    <row r="134" ht="42" customHeight="1" spans="1:12" x14ac:dyDescent="0.25">
      <c r="A134" s="10" t="s">
        <v>57</v>
      </c>
      <c r="B134" s="10" t="s">
        <v>57</v>
      </c>
      <c r="C134" s="10" t="s">
        <v>57</v>
      </c>
      <c r="D134" s="10" t="s">
        <v>57</v>
      </c>
      <c r="E134" s="10" t="s">
        <v>57</v>
      </c>
      <c r="F134" s="10" t="s">
        <v>57</v>
      </c>
      <c r="G134" s="11" t="s">
        <v>57</v>
      </c>
      <c r="H134" s="11" t="s">
        <v>57</v>
      </c>
      <c r="I134" s="12" t="s">
        <v>57</v>
      </c>
      <c r="J134" s="11" t="s">
        <v>57</v>
      </c>
      <c r="K134" s="11" t="s">
        <v>57</v>
      </c>
      <c r="L134" s="11" t="s">
        <v>57</v>
      </c>
    </row>
    <row r="135" ht="42" customHeight="1" spans="1:12" x14ac:dyDescent="0.25">
      <c r="A135" s="10" t="s">
        <v>57</v>
      </c>
      <c r="B135" s="10" t="s">
        <v>57</v>
      </c>
      <c r="C135" s="10" t="s">
        <v>57</v>
      </c>
      <c r="D135" s="10" t="s">
        <v>57</v>
      </c>
      <c r="E135" s="10" t="s">
        <v>57</v>
      </c>
      <c r="F135" s="10" t="s">
        <v>57</v>
      </c>
      <c r="G135" s="11" t="s">
        <v>57</v>
      </c>
      <c r="H135" s="11" t="s">
        <v>57</v>
      </c>
      <c r="I135" s="12" t="s">
        <v>57</v>
      </c>
      <c r="J135" s="11" t="s">
        <v>57</v>
      </c>
      <c r="K135" s="11" t="s">
        <v>57</v>
      </c>
      <c r="L135" s="11" t="s">
        <v>57</v>
      </c>
    </row>
    <row r="136" ht="42" customHeight="1" spans="1:12" x14ac:dyDescent="0.25">
      <c r="A136" s="10" t="s">
        <v>57</v>
      </c>
      <c r="B136" s="10" t="s">
        <v>57</v>
      </c>
      <c r="C136" s="10" t="s">
        <v>57</v>
      </c>
      <c r="D136" s="10" t="s">
        <v>57</v>
      </c>
      <c r="E136" s="10" t="s">
        <v>57</v>
      </c>
      <c r="F136" s="10" t="s">
        <v>57</v>
      </c>
      <c r="G136" s="11" t="s">
        <v>57</v>
      </c>
      <c r="H136" s="11" t="s">
        <v>57</v>
      </c>
      <c r="I136" s="12" t="s">
        <v>57</v>
      </c>
      <c r="J136" s="11" t="s">
        <v>57</v>
      </c>
      <c r="K136" s="11" t="s">
        <v>57</v>
      </c>
      <c r="L136" s="11" t="s">
        <v>57</v>
      </c>
    </row>
    <row r="137" ht="42" customHeight="1" spans="1:12" x14ac:dyDescent="0.25">
      <c r="A137" s="10" t="s">
        <v>57</v>
      </c>
      <c r="B137" s="10" t="s">
        <v>57</v>
      </c>
      <c r="C137" s="10" t="s">
        <v>57</v>
      </c>
      <c r="D137" s="10" t="s">
        <v>57</v>
      </c>
      <c r="E137" s="10" t="s">
        <v>57</v>
      </c>
      <c r="F137" s="10" t="s">
        <v>57</v>
      </c>
      <c r="G137" s="11" t="s">
        <v>57</v>
      </c>
      <c r="H137" s="11" t="s">
        <v>57</v>
      </c>
      <c r="I137" s="12" t="s">
        <v>57</v>
      </c>
      <c r="J137" s="11" t="s">
        <v>57</v>
      </c>
      <c r="K137" s="11" t="s">
        <v>57</v>
      </c>
      <c r="L137" s="11" t="s">
        <v>57</v>
      </c>
    </row>
    <row r="138" ht="42" customHeight="1" spans="1:12" x14ac:dyDescent="0.25">
      <c r="A138" s="10" t="s">
        <v>57</v>
      </c>
      <c r="B138" s="10" t="s">
        <v>57</v>
      </c>
      <c r="C138" s="10" t="s">
        <v>57</v>
      </c>
      <c r="D138" s="10" t="s">
        <v>57</v>
      </c>
      <c r="E138" s="10" t="s">
        <v>57</v>
      </c>
      <c r="F138" s="10" t="s">
        <v>57</v>
      </c>
      <c r="G138" s="11" t="s">
        <v>57</v>
      </c>
      <c r="H138" s="11" t="s">
        <v>57</v>
      </c>
      <c r="I138" s="12" t="s">
        <v>57</v>
      </c>
      <c r="J138" s="11" t="s">
        <v>57</v>
      </c>
      <c r="K138" s="11" t="s">
        <v>57</v>
      </c>
      <c r="L138" s="11" t="s">
        <v>57</v>
      </c>
    </row>
    <row r="139" ht="42" customHeight="1" spans="1:12" x14ac:dyDescent="0.25">
      <c r="A139" s="10" t="s">
        <v>57</v>
      </c>
      <c r="B139" s="10" t="s">
        <v>57</v>
      </c>
      <c r="C139" s="10" t="s">
        <v>57</v>
      </c>
      <c r="D139" s="10" t="s">
        <v>57</v>
      </c>
      <c r="E139" s="10" t="s">
        <v>57</v>
      </c>
      <c r="F139" s="10" t="s">
        <v>57</v>
      </c>
      <c r="G139" s="11" t="s">
        <v>57</v>
      </c>
      <c r="H139" s="11" t="s">
        <v>57</v>
      </c>
      <c r="I139" s="12" t="s">
        <v>57</v>
      </c>
      <c r="J139" s="11" t="s">
        <v>57</v>
      </c>
      <c r="K139" s="11" t="s">
        <v>57</v>
      </c>
      <c r="L139" s="11" t="s">
        <v>57</v>
      </c>
    </row>
    <row r="140" ht="42" customHeight="1" spans="1:12" x14ac:dyDescent="0.25">
      <c r="A140" s="10" t="s">
        <v>57</v>
      </c>
      <c r="B140" s="10" t="s">
        <v>57</v>
      </c>
      <c r="C140" s="10" t="s">
        <v>57</v>
      </c>
      <c r="D140" s="10" t="s">
        <v>57</v>
      </c>
      <c r="E140" s="10" t="s">
        <v>57</v>
      </c>
      <c r="F140" s="10" t="s">
        <v>57</v>
      </c>
      <c r="G140" s="11" t="s">
        <v>57</v>
      </c>
      <c r="H140" s="11" t="s">
        <v>57</v>
      </c>
      <c r="I140" s="12" t="s">
        <v>57</v>
      </c>
      <c r="J140" s="11" t="s">
        <v>57</v>
      </c>
      <c r="K140" s="11" t="s">
        <v>57</v>
      </c>
      <c r="L140" s="11" t="s">
        <v>57</v>
      </c>
    </row>
    <row r="141" ht="42" customHeight="1" spans="1:12" x14ac:dyDescent="0.25">
      <c r="A141" s="10" t="s">
        <v>57</v>
      </c>
      <c r="B141" s="10" t="s">
        <v>57</v>
      </c>
      <c r="C141" s="10" t="s">
        <v>57</v>
      </c>
      <c r="D141" s="10" t="s">
        <v>57</v>
      </c>
      <c r="E141" s="10" t="s">
        <v>57</v>
      </c>
      <c r="F141" s="10" t="s">
        <v>57</v>
      </c>
      <c r="G141" s="11" t="s">
        <v>57</v>
      </c>
      <c r="H141" s="11" t="s">
        <v>57</v>
      </c>
      <c r="I141" s="12" t="s">
        <v>57</v>
      </c>
      <c r="J141" s="11" t="s">
        <v>57</v>
      </c>
      <c r="K141" s="11" t="s">
        <v>57</v>
      </c>
      <c r="L141" s="11" t="s">
        <v>57</v>
      </c>
    </row>
    <row r="142" ht="42" customHeight="1" spans="1:12" x14ac:dyDescent="0.25">
      <c r="A142" s="10" t="s">
        <v>57</v>
      </c>
      <c r="B142" s="10" t="s">
        <v>57</v>
      </c>
      <c r="C142" s="10" t="s">
        <v>57</v>
      </c>
      <c r="D142" s="10" t="s">
        <v>57</v>
      </c>
      <c r="E142" s="10" t="s">
        <v>57</v>
      </c>
      <c r="F142" s="10" t="s">
        <v>57</v>
      </c>
      <c r="G142" s="11" t="s">
        <v>57</v>
      </c>
      <c r="H142" s="11" t="s">
        <v>57</v>
      </c>
      <c r="I142" s="12" t="s">
        <v>57</v>
      </c>
      <c r="J142" s="11" t="s">
        <v>57</v>
      </c>
      <c r="K142" s="11" t="s">
        <v>57</v>
      </c>
      <c r="L142" s="11" t="s">
        <v>57</v>
      </c>
    </row>
    <row r="143" ht="42" customHeight="1" spans="1:12" x14ac:dyDescent="0.25">
      <c r="A143" s="10" t="s">
        <v>57</v>
      </c>
      <c r="B143" s="10" t="s">
        <v>57</v>
      </c>
      <c r="C143" s="10" t="s">
        <v>57</v>
      </c>
      <c r="D143" s="10" t="s">
        <v>57</v>
      </c>
      <c r="E143" s="10" t="s">
        <v>57</v>
      </c>
      <c r="F143" s="10" t="s">
        <v>57</v>
      </c>
      <c r="G143" s="11" t="s">
        <v>57</v>
      </c>
      <c r="H143" s="11" t="s">
        <v>57</v>
      </c>
      <c r="I143" s="12" t="s">
        <v>57</v>
      </c>
      <c r="J143" s="11" t="s">
        <v>57</v>
      </c>
      <c r="K143" s="11" t="s">
        <v>57</v>
      </c>
      <c r="L143" s="11" t="s">
        <v>57</v>
      </c>
    </row>
    <row r="144" ht="42" customHeight="1" spans="1:12" x14ac:dyDescent="0.25">
      <c r="A144" s="10" t="s">
        <v>57</v>
      </c>
      <c r="B144" s="10" t="s">
        <v>57</v>
      </c>
      <c r="C144" s="10" t="s">
        <v>57</v>
      </c>
      <c r="D144" s="10" t="s">
        <v>57</v>
      </c>
      <c r="E144" s="10" t="s">
        <v>57</v>
      </c>
      <c r="F144" s="10" t="s">
        <v>57</v>
      </c>
      <c r="G144" s="11" t="s">
        <v>57</v>
      </c>
      <c r="H144" s="11" t="s">
        <v>57</v>
      </c>
      <c r="I144" s="12" t="s">
        <v>57</v>
      </c>
      <c r="J144" s="11" t="s">
        <v>57</v>
      </c>
      <c r="K144" s="11" t="s">
        <v>57</v>
      </c>
      <c r="L144" s="11" t="s">
        <v>57</v>
      </c>
    </row>
    <row r="145" ht="42" customHeight="1" spans="1:12" x14ac:dyDescent="0.25">
      <c r="A145" s="10" t="s">
        <v>57</v>
      </c>
      <c r="B145" s="10" t="s">
        <v>57</v>
      </c>
      <c r="C145" s="10" t="s">
        <v>57</v>
      </c>
      <c r="D145" s="10" t="s">
        <v>57</v>
      </c>
      <c r="E145" s="10" t="s">
        <v>57</v>
      </c>
      <c r="F145" s="10" t="s">
        <v>57</v>
      </c>
      <c r="G145" s="11" t="s">
        <v>57</v>
      </c>
      <c r="H145" s="11" t="s">
        <v>57</v>
      </c>
      <c r="I145" s="12" t="s">
        <v>57</v>
      </c>
      <c r="J145" s="11" t="s">
        <v>57</v>
      </c>
      <c r="K145" s="11" t="s">
        <v>57</v>
      </c>
      <c r="L145" s="11" t="s">
        <v>57</v>
      </c>
    </row>
    <row r="146" ht="42" customHeight="1" spans="1:12" x14ac:dyDescent="0.25">
      <c r="A146" s="10" t="s">
        <v>57</v>
      </c>
      <c r="B146" s="10" t="s">
        <v>57</v>
      </c>
      <c r="C146" s="10" t="s">
        <v>57</v>
      </c>
      <c r="D146" s="10" t="s">
        <v>57</v>
      </c>
      <c r="E146" s="10" t="s">
        <v>57</v>
      </c>
      <c r="F146" s="10" t="s">
        <v>57</v>
      </c>
      <c r="G146" s="11" t="s">
        <v>57</v>
      </c>
      <c r="H146" s="11" t="s">
        <v>57</v>
      </c>
      <c r="I146" s="12" t="s">
        <v>57</v>
      </c>
      <c r="J146" s="11" t="s">
        <v>57</v>
      </c>
      <c r="K146" s="11" t="s">
        <v>57</v>
      </c>
      <c r="L146" s="11" t="s">
        <v>57</v>
      </c>
    </row>
    <row r="147" ht="42" customHeight="1" spans="1:12" x14ac:dyDescent="0.25">
      <c r="A147" s="10" t="s">
        <v>57</v>
      </c>
      <c r="B147" s="10" t="s">
        <v>57</v>
      </c>
      <c r="C147" s="10" t="s">
        <v>57</v>
      </c>
      <c r="D147" s="10" t="s">
        <v>57</v>
      </c>
      <c r="E147" s="10" t="s">
        <v>57</v>
      </c>
      <c r="F147" s="10" t="s">
        <v>57</v>
      </c>
      <c r="G147" s="11" t="s">
        <v>57</v>
      </c>
      <c r="H147" s="11" t="s">
        <v>57</v>
      </c>
      <c r="I147" s="12" t="s">
        <v>57</v>
      </c>
      <c r="J147" s="11" t="s">
        <v>57</v>
      </c>
      <c r="K147" s="11" t="s">
        <v>57</v>
      </c>
      <c r="L147" s="11" t="s">
        <v>57</v>
      </c>
    </row>
    <row r="148" ht="42" customHeight="1" spans="1:12" x14ac:dyDescent="0.25">
      <c r="A148" s="10" t="s">
        <v>57</v>
      </c>
      <c r="B148" s="10" t="s">
        <v>57</v>
      </c>
      <c r="C148" s="10" t="s">
        <v>57</v>
      </c>
      <c r="D148" s="10" t="s">
        <v>57</v>
      </c>
      <c r="E148" s="10" t="s">
        <v>57</v>
      </c>
      <c r="F148" s="10" t="s">
        <v>57</v>
      </c>
      <c r="G148" s="11" t="s">
        <v>57</v>
      </c>
      <c r="H148" s="11" t="s">
        <v>57</v>
      </c>
      <c r="I148" s="12" t="s">
        <v>57</v>
      </c>
      <c r="J148" s="11" t="s">
        <v>57</v>
      </c>
      <c r="K148" s="11" t="s">
        <v>57</v>
      </c>
      <c r="L148" s="11" t="s">
        <v>57</v>
      </c>
    </row>
    <row r="149" ht="42" customHeight="1" spans="1:12" x14ac:dyDescent="0.25">
      <c r="A149" s="10" t="s">
        <v>57</v>
      </c>
      <c r="B149" s="10" t="s">
        <v>57</v>
      </c>
      <c r="C149" s="10" t="s">
        <v>57</v>
      </c>
      <c r="D149" s="10" t="s">
        <v>57</v>
      </c>
      <c r="E149" s="10" t="s">
        <v>57</v>
      </c>
      <c r="F149" s="10" t="s">
        <v>57</v>
      </c>
      <c r="G149" s="11" t="s">
        <v>57</v>
      </c>
      <c r="H149" s="11" t="s">
        <v>57</v>
      </c>
      <c r="I149" s="12" t="s">
        <v>57</v>
      </c>
      <c r="J149" s="11" t="s">
        <v>57</v>
      </c>
      <c r="K149" s="11" t="s">
        <v>57</v>
      </c>
      <c r="L149" s="11" t="s">
        <v>57</v>
      </c>
    </row>
    <row r="150" ht="42" customHeight="1" spans="1:12" x14ac:dyDescent="0.25">
      <c r="A150" s="10" t="s">
        <v>57</v>
      </c>
      <c r="B150" s="10" t="s">
        <v>57</v>
      </c>
      <c r="C150" s="10" t="s">
        <v>57</v>
      </c>
      <c r="D150" s="10" t="s">
        <v>57</v>
      </c>
      <c r="E150" s="10" t="s">
        <v>57</v>
      </c>
      <c r="F150" s="10" t="s">
        <v>57</v>
      </c>
      <c r="G150" s="11" t="s">
        <v>57</v>
      </c>
      <c r="H150" s="11" t="s">
        <v>57</v>
      </c>
      <c r="I150" s="12" t="s">
        <v>57</v>
      </c>
      <c r="J150" s="11" t="s">
        <v>57</v>
      </c>
      <c r="K150" s="11" t="s">
        <v>57</v>
      </c>
      <c r="L150" s="11" t="s">
        <v>57</v>
      </c>
    </row>
    <row r="151" ht="42" customHeight="1" spans="1:12" x14ac:dyDescent="0.25">
      <c r="A151" s="10" t="s">
        <v>57</v>
      </c>
      <c r="B151" s="10" t="s">
        <v>57</v>
      </c>
      <c r="C151" s="10" t="s">
        <v>57</v>
      </c>
      <c r="D151" s="10" t="s">
        <v>57</v>
      </c>
      <c r="E151" s="10" t="s">
        <v>57</v>
      </c>
      <c r="F151" s="10" t="s">
        <v>57</v>
      </c>
      <c r="G151" s="11" t="s">
        <v>57</v>
      </c>
      <c r="H151" s="11" t="s">
        <v>57</v>
      </c>
      <c r="I151" s="12" t="s">
        <v>57</v>
      </c>
      <c r="J151" s="11" t="s">
        <v>57</v>
      </c>
      <c r="K151" s="11" t="s">
        <v>57</v>
      </c>
      <c r="L151" s="11" t="s">
        <v>57</v>
      </c>
    </row>
    <row r="152" ht="42" customHeight="1" spans="1:12" x14ac:dyDescent="0.25">
      <c r="A152" s="10" t="s">
        <v>57</v>
      </c>
      <c r="B152" s="10" t="s">
        <v>57</v>
      </c>
      <c r="C152" s="10" t="s">
        <v>57</v>
      </c>
      <c r="D152" s="10" t="s">
        <v>57</v>
      </c>
      <c r="E152" s="10" t="s">
        <v>57</v>
      </c>
      <c r="F152" s="10" t="s">
        <v>57</v>
      </c>
      <c r="G152" s="11" t="s">
        <v>57</v>
      </c>
      <c r="H152" s="11" t="s">
        <v>57</v>
      </c>
      <c r="I152" s="12" t="s">
        <v>57</v>
      </c>
      <c r="J152" s="11" t="s">
        <v>57</v>
      </c>
      <c r="K152" s="11" t="s">
        <v>57</v>
      </c>
      <c r="L152" s="11" t="s">
        <v>57</v>
      </c>
    </row>
    <row r="153" ht="42" customHeight="1" spans="1:12" x14ac:dyDescent="0.25">
      <c r="A153" s="10" t="s">
        <v>57</v>
      </c>
      <c r="B153" s="10" t="s">
        <v>57</v>
      </c>
      <c r="C153" s="10" t="s">
        <v>57</v>
      </c>
      <c r="D153" s="10" t="s">
        <v>57</v>
      </c>
      <c r="E153" s="10" t="s">
        <v>57</v>
      </c>
      <c r="F153" s="10" t="s">
        <v>57</v>
      </c>
      <c r="G153" s="11" t="s">
        <v>57</v>
      </c>
      <c r="H153" s="11" t="s">
        <v>57</v>
      </c>
      <c r="I153" s="12" t="s">
        <v>57</v>
      </c>
      <c r="J153" s="11" t="s">
        <v>57</v>
      </c>
      <c r="K153" s="11" t="s">
        <v>57</v>
      </c>
      <c r="L153" s="11" t="s">
        <v>57</v>
      </c>
    </row>
    <row r="154" ht="42" customHeight="1" spans="1:12" x14ac:dyDescent="0.25">
      <c r="A154" s="10" t="s">
        <v>57</v>
      </c>
      <c r="B154" s="10" t="s">
        <v>57</v>
      </c>
      <c r="C154" s="10" t="s">
        <v>57</v>
      </c>
      <c r="D154" s="10" t="s">
        <v>57</v>
      </c>
      <c r="E154" s="10" t="s">
        <v>57</v>
      </c>
      <c r="F154" s="10" t="s">
        <v>57</v>
      </c>
      <c r="G154" s="11" t="s">
        <v>57</v>
      </c>
      <c r="H154" s="11" t="s">
        <v>57</v>
      </c>
      <c r="I154" s="12" t="s">
        <v>57</v>
      </c>
      <c r="J154" s="11" t="s">
        <v>57</v>
      </c>
      <c r="K154" s="11" t="s">
        <v>57</v>
      </c>
      <c r="L154" s="11" t="s">
        <v>57</v>
      </c>
    </row>
  </sheetData>
  <autoFilter ref="A8:L154"/>
  <mergeCells count="7">
    <mergeCell ref="B2:L3"/>
    <mergeCell ref="B4:L4"/>
    <mergeCell ref="B6:C6"/>
    <mergeCell ref="D6:E6"/>
    <mergeCell ref="F6:G6"/>
    <mergeCell ref="H6:I6"/>
    <mergeCell ref="J6:K6"/>
  </mergeCells>
  <conditionalFormatting sqref="A9:A154">
    <cfRule type="containsText" dxfId="0" priority="1">
      <formula>NOT(ISERROR(SEARCH("신규",A9)))</formula>
    </cfRule>
  </conditionalFormatting>
  <dataValidations count="6">
    <dataValidation type="list" allowBlank="1" sqref="A10:A154">
      <formula1>"기존,신규,검토"</formula1>
    </dataValidation>
    <dataValidation type="list" allowBlank="1" sqref="A9:A154">
      <formula1>"기존,신규,검토"</formula1>
    </dataValidation>
    <dataValidation type="list" allowBlank="1" sqref="E10:E154">
      <formula1>"일반회계,특별회계,기금"</formula1>
    </dataValidation>
    <dataValidation type="list" allowBlank="1" sqref="E9:E154">
      <formula1>"일반회계,특별회계,기금"</formula1>
    </dataValidation>
    <dataValidation type="list" allowBlank="1" sqref="F10:F154">
      <formula1>"AI인프라,AI반도체,AI모델,지역AX,피지컬AI,글로벌 이니셔티브,AI생태계,산업전략,기관운영비"</formula1>
    </dataValidation>
    <dataValidation type="list" allowBlank="1" sqref="F9:F154">
      <formula1>"AI인프라,AI반도체,AI모델,지역AX,피지컬AI,글로벌 이니셔티브,AI생태계,산업전략,기관운영비"</formula1>
    </dataValidation>
  </dataValidations>
  <hyperlinks>
    <hyperlink ref="B6" r:id="rId1" location="#'대시보드'!A1"/>
    <hyperlink ref="D6" r:id="rId2" location="#'사업 DB'!A1"/>
    <hyperlink ref="F6" r:id="rId3" location="#'신규입력 안내'!A1"/>
    <hyperlink ref="H6" r:id="rId4" location="#'레이어 현황'!A1"/>
    <hyperlink ref="J6" r:id="rId5" location="#'본부별 현황'!A1"/>
  </hyperlinks>
  <pageSetup orientation="landscape" fitToWidth="1" fitToHeight="0"/>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7"/>
  <sheetViews>
    <sheetView workbookViewId="0" showGridLines="0">
      <pane ySplit="8" topLeftCell="A9" activePane="bottomLeft" state="frozen"/>
      <selection pane="bottomLeft"/>
    </sheetView>
  </sheetViews>
  <sheetFormatPr defaultRowHeight="20" outlineLevelRow="0" outlineLevelCol="0" x14ac:dyDescent="55" customHeight="1"/>
  <cols>
    <col min="1" max="1" width="4" customWidth="1"/>
    <col min="2" max="2" width="28" customWidth="1"/>
    <col min="3" max="3" width="16" customWidth="1"/>
    <col min="4" max="4" width="20" customWidth="1"/>
    <col min="5" max="5" width="55" customWidth="1"/>
  </cols>
  <sheetData>
    <row r="2" spans="2:12" x14ac:dyDescent="0.25">
      <c r="B2" s="1" t="s">
        <v>511</v>
      </c>
      <c r="C2" s="1"/>
      <c r="D2" s="1"/>
      <c r="E2" s="1"/>
      <c r="F2" s="1"/>
      <c r="G2" s="1"/>
      <c r="H2" s="1"/>
      <c r="I2" s="1"/>
      <c r="J2" s="1"/>
      <c r="K2" s="1"/>
      <c r="L2" s="1"/>
    </row>
    <row r="3" spans="2:12" x14ac:dyDescent="0.25">
      <c r="B3" s="1"/>
      <c r="C3" s="1"/>
      <c r="D3" s="1"/>
      <c r="E3" s="1"/>
      <c r="F3" s="1"/>
      <c r="G3" s="1"/>
      <c r="H3" s="1"/>
      <c r="I3" s="1"/>
      <c r="J3" s="1"/>
      <c r="K3" s="1"/>
      <c r="L3" s="1"/>
    </row>
    <row r="4" spans="2:12" x14ac:dyDescent="0.25">
      <c r="B4" s="2" t="s">
        <v>512</v>
      </c>
      <c r="C4" s="2"/>
      <c r="D4" s="2"/>
      <c r="E4" s="2"/>
      <c r="F4" s="2"/>
      <c r="G4" s="2"/>
      <c r="H4" s="2"/>
      <c r="I4" s="2"/>
      <c r="J4" s="2"/>
      <c r="K4" s="2"/>
      <c r="L4" s="2"/>
    </row>
    <row r="6" ht="25" customHeight="1" spans="2:11" x14ac:dyDescent="0.25">
      <c r="B6" s="3" t="s">
        <v>2</v>
      </c>
      <c r="C6" s="3"/>
      <c r="D6" s="3" t="s">
        <v>3</v>
      </c>
      <c r="E6" s="3"/>
      <c r="F6" s="3" t="s">
        <v>4</v>
      </c>
      <c r="G6" s="3"/>
      <c r="H6" s="3" t="s">
        <v>5</v>
      </c>
      <c r="I6" s="3"/>
      <c r="J6" s="3" t="s">
        <v>6</v>
      </c>
      <c r="K6" s="3"/>
    </row>
    <row r="8" spans="1:5" s="13" customFormat="1" x14ac:dyDescent="0.25">
      <c r="A8" s="13" t="s">
        <v>57</v>
      </c>
      <c r="B8" s="13" t="s">
        <v>513</v>
      </c>
      <c r="C8" s="13" t="s">
        <v>13</v>
      </c>
      <c r="D8" s="13" t="s">
        <v>14</v>
      </c>
      <c r="E8" s="13" t="s">
        <v>514</v>
      </c>
    </row>
    <row r="9" spans="2:5" x14ac:dyDescent="0.25">
      <c r="B9" s="14" t="s">
        <v>15</v>
      </c>
      <c r="C9" s="14">
        <f>COUNTIF(사업DB[레이어],B9)</f>
      </c>
      <c r="D9" s="15">
        <f>SUMIF(사업DB[레이어],B9,사업DB[2026년 예산(백만원)])</f>
      </c>
      <c r="E9" s="14" t="s">
        <v>515</v>
      </c>
    </row>
    <row r="10" spans="2:5" x14ac:dyDescent="0.25">
      <c r="B10" s="14" t="s">
        <v>16</v>
      </c>
      <c r="C10" s="14">
        <f>COUNTIF(사업DB[레이어],B10)</f>
      </c>
      <c r="D10" s="15">
        <f>SUMIF(사업DB[레이어],B10,사업DB[2026년 예산(백만원)])</f>
      </c>
      <c r="E10" s="14" t="s">
        <v>515</v>
      </c>
    </row>
    <row r="11" spans="2:5" x14ac:dyDescent="0.25">
      <c r="B11" s="14" t="s">
        <v>17</v>
      </c>
      <c r="C11" s="14">
        <f>COUNTIF(사업DB[레이어],B11)</f>
      </c>
      <c r="D11" s="15">
        <f>SUMIF(사업DB[레이어],B11,사업DB[2026년 예산(백만원)])</f>
      </c>
      <c r="E11" s="14" t="s">
        <v>515</v>
      </c>
    </row>
    <row r="12" spans="2:5" x14ac:dyDescent="0.25">
      <c r="B12" s="14" t="s">
        <v>18</v>
      </c>
      <c r="C12" s="14">
        <f>COUNTIF(사업DB[레이어],B12)</f>
      </c>
      <c r="D12" s="15">
        <f>SUMIF(사업DB[레이어],B12,사업DB[2026년 예산(백만원)])</f>
      </c>
      <c r="E12" s="14" t="s">
        <v>515</v>
      </c>
    </row>
    <row r="13" spans="2:5" x14ac:dyDescent="0.25">
      <c r="B13" s="14" t="s">
        <v>19</v>
      </c>
      <c r="C13" s="14">
        <f>COUNTIF(사업DB[레이어],B13)</f>
      </c>
      <c r="D13" s="15">
        <f>SUMIF(사업DB[레이어],B13,사업DB[2026년 예산(백만원)])</f>
      </c>
      <c r="E13" s="14" t="s">
        <v>515</v>
      </c>
    </row>
    <row r="14" spans="2:5" x14ac:dyDescent="0.25">
      <c r="B14" s="14" t="s">
        <v>20</v>
      </c>
      <c r="C14" s="14">
        <f>COUNTIF(사업DB[레이어],B14)</f>
      </c>
      <c r="D14" s="15">
        <f>SUMIF(사업DB[레이어],B14,사업DB[2026년 예산(백만원)])</f>
      </c>
      <c r="E14" s="14" t="s">
        <v>515</v>
      </c>
    </row>
    <row r="15" spans="2:5" x14ac:dyDescent="0.25">
      <c r="B15" s="14" t="s">
        <v>21</v>
      </c>
      <c r="C15" s="14">
        <f>COUNTIF(사업DB[레이어],B15)</f>
      </c>
      <c r="D15" s="15">
        <f>SUMIF(사업DB[레이어],B15,사업DB[2026년 예산(백만원)])</f>
      </c>
      <c r="E15" s="14" t="s">
        <v>515</v>
      </c>
    </row>
    <row r="16" spans="2:5" x14ac:dyDescent="0.25">
      <c r="B16" s="14" t="s">
        <v>22</v>
      </c>
      <c r="C16" s="14">
        <f>COUNTIF(사업DB[레이어],B16)</f>
      </c>
      <c r="D16" s="15">
        <f>SUMIF(사업DB[레이어],B16,사업DB[2026년 예산(백만원)])</f>
      </c>
      <c r="E16" s="14" t="s">
        <v>515</v>
      </c>
    </row>
    <row r="17" spans="2:5" x14ac:dyDescent="0.25">
      <c r="B17" s="14" t="s">
        <v>23</v>
      </c>
      <c r="C17" s="14">
        <f>COUNTIF(사업DB[레이어],B17)</f>
      </c>
      <c r="D17" s="15">
        <f>SUMIF(사업DB[레이어],B17,사업DB[2026년 예산(백만원)])</f>
      </c>
      <c r="E17" s="14" t="s">
        <v>515</v>
      </c>
    </row>
  </sheetData>
  <mergeCells count="7">
    <mergeCell ref="B2:L3"/>
    <mergeCell ref="B4:L4"/>
    <mergeCell ref="B6:C6"/>
    <mergeCell ref="D6:E6"/>
    <mergeCell ref="F6:G6"/>
    <mergeCell ref="H6:I6"/>
    <mergeCell ref="J6:K6"/>
  </mergeCells>
  <conditionalFormatting sqref="D9:D17">
    <cfRule type="colorScale" priority="1">
      <colorScale>
        <cfvo type="min"/>
        <cfvo type="max"/>
        <color rgb="FFFFFFFF"/>
        <color rgb="FF7CB5E8"/>
      </colorScale>
    </cfRule>
  </conditionalFormatting>
  <hyperlinks>
    <hyperlink ref="B6" r:id="rId1" location="#'대시보드'!A1"/>
    <hyperlink ref="D6" r:id="rId2" location="#'사업 DB'!A1"/>
    <hyperlink ref="F6" r:id="rId3" location="#'신규입력 안내'!A1"/>
    <hyperlink ref="H6" r:id="rId4" location="#'레이어 현황'!A1"/>
    <hyperlink ref="J6" r:id="rId5" location="#'본부별 현황'!A1"/>
  </hyperlinks>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6"/>
  <sheetViews>
    <sheetView workbookViewId="0" showGridLines="0">
      <pane ySplit="8" topLeftCell="A9" activePane="bottomLeft" state="frozen"/>
      <selection pane="bottomLeft"/>
    </sheetView>
  </sheetViews>
  <sheetFormatPr defaultRowHeight="20" outlineLevelRow="0" outlineLevelCol="0" x14ac:dyDescent="55" customHeight="1"/>
  <cols>
    <col min="1" max="1" width="4" customWidth="1"/>
    <col min="2" max="2" width="28" customWidth="1"/>
    <col min="3" max="3" width="16" customWidth="1"/>
    <col min="4" max="4" width="20" customWidth="1"/>
    <col min="5" max="5" width="55" customWidth="1"/>
  </cols>
  <sheetData>
    <row r="2" spans="2:12" x14ac:dyDescent="0.25">
      <c r="B2" s="1" t="s">
        <v>516</v>
      </c>
      <c r="C2" s="1"/>
      <c r="D2" s="1"/>
      <c r="E2" s="1"/>
      <c r="F2" s="1"/>
      <c r="G2" s="1"/>
      <c r="H2" s="1"/>
      <c r="I2" s="1"/>
      <c r="J2" s="1"/>
      <c r="K2" s="1"/>
      <c r="L2" s="1"/>
    </row>
    <row r="3" spans="2:12" x14ac:dyDescent="0.25">
      <c r="B3" s="1"/>
      <c r="C3" s="1"/>
      <c r="D3" s="1"/>
      <c r="E3" s="1"/>
      <c r="F3" s="1"/>
      <c r="G3" s="1"/>
      <c r="H3" s="1"/>
      <c r="I3" s="1"/>
      <c r="J3" s="1"/>
      <c r="K3" s="1"/>
      <c r="L3" s="1"/>
    </row>
    <row r="4" spans="2:12" x14ac:dyDescent="0.25">
      <c r="B4" s="2" t="s">
        <v>512</v>
      </c>
      <c r="C4" s="2"/>
      <c r="D4" s="2"/>
      <c r="E4" s="2"/>
      <c r="F4" s="2"/>
      <c r="G4" s="2"/>
      <c r="H4" s="2"/>
      <c r="I4" s="2"/>
      <c r="J4" s="2"/>
      <c r="K4" s="2"/>
      <c r="L4" s="2"/>
    </row>
    <row r="6" ht="25" customHeight="1" spans="2:11" x14ac:dyDescent="0.25">
      <c r="B6" s="3" t="s">
        <v>2</v>
      </c>
      <c r="C6" s="3"/>
      <c r="D6" s="3" t="s">
        <v>3</v>
      </c>
      <c r="E6" s="3"/>
      <c r="F6" s="3" t="s">
        <v>4</v>
      </c>
      <c r="G6" s="3"/>
      <c r="H6" s="3" t="s">
        <v>5</v>
      </c>
      <c r="I6" s="3"/>
      <c r="J6" s="3" t="s">
        <v>6</v>
      </c>
      <c r="K6" s="3"/>
    </row>
    <row r="8" spans="1:5" s="13" customFormat="1" x14ac:dyDescent="0.25">
      <c r="A8" s="13" t="s">
        <v>57</v>
      </c>
      <c r="B8" s="13" t="s">
        <v>513</v>
      </c>
      <c r="C8" s="13" t="s">
        <v>13</v>
      </c>
      <c r="D8" s="13" t="s">
        <v>14</v>
      </c>
      <c r="E8" s="13" t="s">
        <v>514</v>
      </c>
    </row>
    <row r="9" spans="2:5" x14ac:dyDescent="0.25">
      <c r="B9" s="14" t="s">
        <v>79</v>
      </c>
      <c r="C9" s="14">
        <f>COUNTIF(사업DB[NIPA 본부],"*"&amp;B9&amp;"*")</f>
      </c>
      <c r="D9" s="15">
        <f>SUMIF(사업DB[NIPA 본부],"*"&amp;B9&amp;"*",사업DB[2026년 예산(백만원)])</f>
      </c>
      <c r="E9" s="14" t="s">
        <v>515</v>
      </c>
    </row>
    <row r="10" spans="2:5" x14ac:dyDescent="0.25">
      <c r="B10" s="14" t="s">
        <v>106</v>
      </c>
      <c r="C10" s="14">
        <f>COUNTIF(사업DB[NIPA 본부],"*"&amp;B10&amp;"*")</f>
      </c>
      <c r="D10" s="15">
        <f>SUMIF(사업DB[NIPA 본부],"*"&amp;B10&amp;"*",사업DB[2026년 예산(백만원)])</f>
      </c>
      <c r="E10" s="14" t="s">
        <v>515</v>
      </c>
    </row>
    <row r="11" spans="2:5" x14ac:dyDescent="0.25">
      <c r="B11" s="14" t="s">
        <v>43</v>
      </c>
      <c r="C11" s="14">
        <f>COUNTIF(사업DB[NIPA 본부],"*"&amp;B11&amp;"*")</f>
      </c>
      <c r="D11" s="15">
        <f>SUMIF(사업DB[NIPA 본부],"*"&amp;B11&amp;"*",사업DB[2026년 예산(백만원)])</f>
      </c>
      <c r="E11" s="14" t="s">
        <v>515</v>
      </c>
    </row>
    <row r="12" spans="2:5" x14ac:dyDescent="0.25">
      <c r="B12" s="14" t="s">
        <v>52</v>
      </c>
      <c r="C12" s="14">
        <f>COUNTIF(사업DB[NIPA 본부],"*"&amp;B12&amp;"*")</f>
      </c>
      <c r="D12" s="15">
        <f>SUMIF(사업DB[NIPA 본부],"*"&amp;B12&amp;"*",사업DB[2026년 예산(백만원)])</f>
      </c>
      <c r="E12" s="14" t="s">
        <v>515</v>
      </c>
    </row>
    <row r="13" spans="2:5" x14ac:dyDescent="0.25">
      <c r="B13" s="14" t="s">
        <v>73</v>
      </c>
      <c r="C13" s="14">
        <f>COUNTIF(사업DB[NIPA 본부],"*"&amp;B13&amp;"*")</f>
      </c>
      <c r="D13" s="15">
        <f>SUMIF(사업DB[NIPA 본부],"*"&amp;B13&amp;"*",사업DB[2026년 예산(백만원)])</f>
      </c>
      <c r="E13" s="14" t="s">
        <v>515</v>
      </c>
    </row>
    <row r="14" spans="2:5" x14ac:dyDescent="0.25">
      <c r="B14" s="14" t="s">
        <v>60</v>
      </c>
      <c r="C14" s="14">
        <f>COUNTIF(사업DB[NIPA 본부],"*"&amp;B14&amp;"*")</f>
      </c>
      <c r="D14" s="15">
        <f>SUMIF(사업DB[NIPA 본부],"*"&amp;B14&amp;"*",사업DB[2026년 예산(백만원)])</f>
      </c>
      <c r="E14" s="14" t="s">
        <v>515</v>
      </c>
    </row>
    <row r="15" spans="2:5" x14ac:dyDescent="0.25">
      <c r="B15" s="14" t="s">
        <v>152</v>
      </c>
      <c r="C15" s="14">
        <f>COUNTIF(사업DB[NIPA 본부],"*"&amp;B15&amp;"*")</f>
      </c>
      <c r="D15" s="15">
        <f>SUMIF(사업DB[NIPA 본부],"*"&amp;B15&amp;"*",사업DB[2026년 예산(백만원)])</f>
      </c>
      <c r="E15" s="14" t="s">
        <v>515</v>
      </c>
    </row>
    <row r="16" spans="2:5" x14ac:dyDescent="0.25">
      <c r="B16" s="14" t="s">
        <v>92</v>
      </c>
      <c r="C16" s="14">
        <f>COUNTIF(사업DB[NIPA 본부],"*"&amp;B16&amp;"*")</f>
      </c>
      <c r="D16" s="15">
        <f>SUMIF(사업DB[NIPA 본부],"*"&amp;B16&amp;"*",사업DB[2026년 예산(백만원)])</f>
      </c>
      <c r="E16" s="14" t="s">
        <v>515</v>
      </c>
    </row>
  </sheetData>
  <mergeCells count="7">
    <mergeCell ref="B2:L3"/>
    <mergeCell ref="B4:L4"/>
    <mergeCell ref="B6:C6"/>
    <mergeCell ref="D6:E6"/>
    <mergeCell ref="F6:G6"/>
    <mergeCell ref="H6:I6"/>
    <mergeCell ref="J6:K6"/>
  </mergeCells>
  <conditionalFormatting sqref="D9:D16">
    <cfRule type="colorScale" priority="1">
      <colorScale>
        <cfvo type="min"/>
        <cfvo type="max"/>
        <color rgb="FFFFFFFF"/>
        <color rgb="FF7CB5E8"/>
      </colorScale>
    </cfRule>
  </conditionalFormatting>
  <hyperlinks>
    <hyperlink ref="B6" r:id="rId1" location="#'대시보드'!A1"/>
    <hyperlink ref="D6" r:id="rId2" location="#'사업 DB'!A1"/>
    <hyperlink ref="F6" r:id="rId3" location="#'신규입력 안내'!A1"/>
    <hyperlink ref="H6" r:id="rId4" location="#'레이어 현황'!A1"/>
    <hyperlink ref="J6" r:id="rId5" location="#'본부별 현황'!A1"/>
  </hyperlink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L12"/>
  <sheetViews>
    <sheetView workbookViewId="0" showGridLines="0"/>
  </sheetViews>
  <sheetFormatPr defaultRowHeight="20" outlineLevelRow="0" outlineLevelCol="0" x14ac:dyDescent="55" customHeight="1"/>
  <cols>
    <col min="1" max="1" width="4" customWidth="1"/>
    <col min="2" max="2" width="28" customWidth="1"/>
    <col min="3" max="3" width="85" customWidth="1"/>
  </cols>
  <sheetData>
    <row r="2" spans="2:12" x14ac:dyDescent="0.25">
      <c r="B2" s="1" t="s">
        <v>517</v>
      </c>
      <c r="C2" s="1"/>
      <c r="D2" s="1"/>
      <c r="E2" s="1"/>
      <c r="F2" s="1"/>
      <c r="G2" s="1"/>
      <c r="H2" s="1"/>
      <c r="I2" s="1"/>
      <c r="J2" s="1"/>
      <c r="K2" s="1"/>
      <c r="L2" s="1"/>
    </row>
    <row r="3" spans="2:12" x14ac:dyDescent="0.25">
      <c r="B3" s="1"/>
      <c r="C3" s="1"/>
      <c r="D3" s="1"/>
      <c r="E3" s="1"/>
      <c r="F3" s="1"/>
      <c r="G3" s="1"/>
      <c r="H3" s="1"/>
      <c r="I3" s="1"/>
      <c r="J3" s="1"/>
      <c r="K3" s="1"/>
      <c r="L3" s="1"/>
    </row>
    <row r="4" spans="2:12" x14ac:dyDescent="0.25">
      <c r="B4" s="2" t="s">
        <v>518</v>
      </c>
      <c r="C4" s="2"/>
      <c r="D4" s="2"/>
      <c r="E4" s="2"/>
      <c r="F4" s="2"/>
      <c r="G4" s="2"/>
      <c r="H4" s="2"/>
      <c r="I4" s="2"/>
      <c r="J4" s="2"/>
      <c r="K4" s="2"/>
      <c r="L4" s="2"/>
    </row>
    <row r="6" ht="25" customHeight="1" spans="2:11" x14ac:dyDescent="0.25">
      <c r="B6" s="3" t="s">
        <v>2</v>
      </c>
      <c r="C6" s="3"/>
      <c r="D6" s="3" t="s">
        <v>3</v>
      </c>
      <c r="E6" s="3"/>
      <c r="F6" s="3" t="s">
        <v>4</v>
      </c>
      <c r="G6" s="3"/>
      <c r="H6" s="3" t="s">
        <v>5</v>
      </c>
      <c r="I6" s="3"/>
      <c r="J6" s="3" t="s">
        <v>6</v>
      </c>
      <c r="K6" s="3"/>
    </row>
    <row r="8" spans="2:3" x14ac:dyDescent="0.25">
      <c r="B8" s="16" t="s">
        <v>519</v>
      </c>
      <c r="C8" s="16" t="s">
        <v>520</v>
      </c>
    </row>
    <row r="9" ht="55" customHeight="1" spans="2:3" x14ac:dyDescent="0.25">
      <c r="B9" s="14" t="s">
        <v>521</v>
      </c>
      <c r="C9" s="14" t="s">
        <v>522</v>
      </c>
    </row>
    <row r="10" ht="55" customHeight="1" spans="2:3" x14ac:dyDescent="0.25">
      <c r="B10" s="14" t="s">
        <v>523</v>
      </c>
      <c r="C10" s="14" t="s">
        <v>524</v>
      </c>
    </row>
    <row r="11" ht="55" customHeight="1" spans="2:3" x14ac:dyDescent="0.25">
      <c r="B11" s="14" t="s">
        <v>525</v>
      </c>
      <c r="C11" s="14" t="s">
        <v>526</v>
      </c>
    </row>
    <row r="12" ht="55" customHeight="1" spans="2:3" x14ac:dyDescent="0.25">
      <c r="B12" s="14" t="s">
        <v>527</v>
      </c>
      <c r="C12" s="14" t="s">
        <v>528</v>
      </c>
    </row>
  </sheetData>
  <mergeCells count="7">
    <mergeCell ref="B2:L3"/>
    <mergeCell ref="B4:L4"/>
    <mergeCell ref="B6:C6"/>
    <mergeCell ref="D6:E6"/>
    <mergeCell ref="F6:G6"/>
    <mergeCell ref="H6:I6"/>
    <mergeCell ref="J6:K6"/>
  </mergeCells>
  <hyperlinks>
    <hyperlink ref="B6" r:id="rId1" location="#'대시보드'!A1"/>
    <hyperlink ref="D6" r:id="rId2" location="#'사업 DB'!A1"/>
    <hyperlink ref="F6" r:id="rId3" location="#'신규입력 안내'!A1"/>
    <hyperlink ref="H6" r:id="rId4" location="#'레이어 현황'!A1"/>
    <hyperlink ref="J6" r:id="rId5" location="#'본부별 현황'!A1"/>
  </hyperlink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대시보드</vt:lpstr>
      <vt:lpstr>사업 DB</vt:lpstr>
      <vt:lpstr>레이어 현황</vt:lpstr>
      <vt:lpstr>본부별 현황</vt:lpstr>
      <vt:lpstr>신규입력 안내</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NIPA Budget Dashboard</dc:creator>
  <dc:title/>
  <dc:subject/>
  <dc:description/>
  <cp:keywords/>
  <cp:category/>
  <cp:lastModifiedBy>Unknown</cp:lastModifiedBy>
  <dcterms:created xsi:type="dcterms:W3CDTF">2026-08-13T07:14:36Z</dcterms:created>
  <dcterms:modified xsi:type="dcterms:W3CDTF">2026-08-13T07:14:36Z</dcterms:modified>
</cp:coreProperties>
</file>